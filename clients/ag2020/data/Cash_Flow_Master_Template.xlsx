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atic Overhead" sheetId="2" state="visible" r:id="rId2"/>
    <sheet xmlns:r="http://schemas.openxmlformats.org/officeDocument/2006/relationships" name="Payroll" sheetId="3" state="visible" r:id="rId3"/>
    <sheet xmlns:r="http://schemas.openxmlformats.org/officeDocument/2006/relationships" name="COGS" sheetId="4" state="visible" r:id="rId4"/>
    <sheet xmlns:r="http://schemas.openxmlformats.org/officeDocument/2006/relationships" name="Commissions" sheetId="5" state="visible" r:id="rId5"/>
    <sheet xmlns:r="http://schemas.openxmlformats.org/officeDocument/2006/relationships" name="TPT Taxes" sheetId="6" state="visible" r:id="rId6"/>
    <sheet xmlns:r="http://schemas.openxmlformats.org/officeDocument/2006/relationships" name="Rebates" sheetId="7" state="visible" r:id="rId7"/>
    <sheet xmlns:r="http://schemas.openxmlformats.org/officeDocument/2006/relationships" name="Cash Position" sheetId="8" state="visible" r:id="rId8"/>
    <sheet xmlns:r="http://schemas.openxmlformats.org/officeDocument/2006/relationships" name="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7">
    <font>
      <name val="Calibri"/>
      <family val="2"/>
      <color theme="1"/>
      <sz val="11"/>
      <scheme val="minor"/>
    </font>
    <font>
      <b val="1"/>
      <color rgb="001F4788"/>
      <sz val="16"/>
    </font>
    <font>
      <b val="1"/>
      <color rgb="00FFFFFF"/>
      <sz val="11"/>
    </font>
    <font>
      <b val="1"/>
      <color rgb="00FF9900"/>
    </font>
    <font>
      <b val="1"/>
      <color rgb="00008000"/>
    </font>
    <font>
      <b val="1"/>
    </font>
    <font>
      <b val="1"/>
      <color rgb="001F4788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164" fontId="5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3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788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 MANAGEMENT DASHBOARD</t>
        </is>
      </c>
    </row>
    <row r="2">
      <c r="A2" t="inlineStr">
        <is>
          <t>Last Updated:</t>
        </is>
      </c>
      <c r="B2" t="inlineStr">
        <is>
          <t>09/30/2025 10:10 PM</t>
        </is>
      </c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2" t="inlineStr">
        <is>
          <t>CURRENT STATUS</t>
        </is>
      </c>
      <c r="B4" s="2" t="inlineStr"/>
      <c r="C4" s="2" t="inlineStr"/>
      <c r="D4" s="2" t="inlineStr">
        <is>
          <t>WEEKLY FORECAST</t>
        </is>
      </c>
      <c r="E4" s="2" t="inlineStr"/>
      <c r="F4" s="2" t="inlineStr"/>
    </row>
    <row r="5">
      <c r="A5" t="inlineStr">
        <is>
          <t>Current Cash:</t>
        </is>
      </c>
      <c r="B5" t="inlineStr">
        <is>
          <t>$45,320</t>
        </is>
      </c>
      <c r="C5" t="inlineStr"/>
      <c r="D5" t="inlineStr">
        <is>
          <t>Week 1:</t>
        </is>
      </c>
      <c r="E5" t="inlineStr">
        <is>
          <t>$52,450</t>
        </is>
      </c>
      <c r="F5" t="inlineStr"/>
    </row>
    <row r="6">
      <c r="A6" t="inlineStr">
        <is>
          <t>Today's Payments:</t>
        </is>
      </c>
      <c r="B6" t="inlineStr">
        <is>
          <t>$3,245</t>
        </is>
      </c>
      <c r="C6" t="inlineStr"/>
      <c r="D6" t="inlineStr">
        <is>
          <t>Week 2:</t>
        </is>
      </c>
      <c r="E6" t="inlineStr">
        <is>
          <t>$48,230</t>
        </is>
      </c>
      <c r="F6" t="inlineStr"/>
    </row>
    <row r="7">
      <c r="A7" t="inlineStr">
        <is>
          <t>Tomorrow's Payments:</t>
        </is>
      </c>
      <c r="B7" t="inlineStr">
        <is>
          <t>$8,450</t>
        </is>
      </c>
      <c r="C7" t="inlineStr"/>
      <c r="D7" t="inlineStr">
        <is>
          <t>Week 3:</t>
        </is>
      </c>
      <c r="E7" t="inlineStr">
        <is>
          <t>$65,890</t>
        </is>
      </c>
      <c r="F7" t="inlineStr"/>
    </row>
    <row r="8">
      <c r="A8" t="inlineStr">
        <is>
          <t>7-Day Total Due:</t>
        </is>
      </c>
      <c r="B8" t="inlineStr">
        <is>
          <t>$32,456</t>
        </is>
      </c>
      <c r="C8" t="inlineStr"/>
      <c r="D8" t="inlineStr">
        <is>
          <t>Week 4:</t>
        </is>
      </c>
      <c r="E8" t="inlineStr">
        <is>
          <t>$72,340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s="2" t="inlineStr">
        <is>
          <t>ALERTS &amp; WARNINGS</t>
        </is>
      </c>
    </row>
    <row r="11">
      <c r="A11" s="3" t="inlineStr">
        <is>
          <t>⚠️ Heavy payment concentration on 15th - $10,797</t>
        </is>
      </c>
      <c r="B11" t="inlineStr"/>
      <c r="C11" t="inlineStr"/>
      <c r="D11" t="inlineStr"/>
      <c r="E11" t="inlineStr"/>
      <c r="F11" t="inlineStr"/>
    </row>
    <row r="12">
      <c r="A12" s="3" t="inlineStr">
        <is>
          <t>⚠️ Cash may drop below $10,000 threshold on 22nd</t>
        </is>
      </c>
      <c r="B12" t="inlineStr"/>
      <c r="C12" t="inlineStr"/>
      <c r="D12" t="inlineStr"/>
      <c r="E12" t="inlineStr"/>
      <c r="F12" t="inlineStr"/>
    </row>
    <row r="13">
      <c r="A13" s="4" t="inlineStr">
        <is>
          <t>✓ All payments current - no overdue items</t>
        </is>
      </c>
      <c r="B13" t="inlineStr"/>
      <c r="C13" t="inlineStr"/>
      <c r="D13" t="inlineStr"/>
      <c r="E13" t="inlineStr"/>
      <c r="F13" t="inlineStr"/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Payment Name</t>
        </is>
      </c>
      <c r="B1" s="5" t="inlineStr">
        <is>
          <t>Amount</t>
        </is>
      </c>
      <c r="C1" s="5" t="inlineStr">
        <is>
          <t>Day of Month</t>
        </is>
      </c>
      <c r="D1" s="5" t="inlineStr">
        <is>
          <t>Category</t>
        </is>
      </c>
      <c r="E1" s="5" t="inlineStr">
        <is>
          <t>Vendor</t>
        </is>
      </c>
      <c r="F1" s="5" t="inlineStr">
        <is>
          <t>Account</t>
        </is>
      </c>
      <c r="G1" s="5" t="inlineStr">
        <is>
          <t>Auto-Pay</t>
        </is>
      </c>
      <c r="H1" s="5" t="inlineStr">
        <is>
          <t>Notes</t>
        </is>
      </c>
    </row>
    <row r="2">
      <c r="A2" s="6" t="inlineStr">
        <is>
          <t>Office Rent (1st)</t>
        </is>
      </c>
      <c r="B2" s="7" t="n">
        <v>1545.48</v>
      </c>
      <c r="C2" s="8" t="n">
        <v>1</v>
      </c>
      <c r="D2" s="6" t="inlineStr">
        <is>
          <t>Rent</t>
        </is>
      </c>
      <c r="E2" s="6" t="inlineStr">
        <is>
          <t>Property Management Co</t>
        </is>
      </c>
      <c r="F2" s="6" t="inlineStr">
        <is>
          <t>Operating</t>
        </is>
      </c>
      <c r="G2" s="6" t="inlineStr">
        <is>
          <t>Yes</t>
        </is>
      </c>
      <c r="H2" s="6" t="inlineStr">
        <is>
          <t>Split payment 1/3</t>
        </is>
      </c>
    </row>
    <row r="3">
      <c r="A3" s="6" t="inlineStr">
        <is>
          <t>SBA Loan</t>
        </is>
      </c>
      <c r="B3" s="7" t="n">
        <v>2268</v>
      </c>
      <c r="C3" s="8" t="n">
        <v>1</v>
      </c>
      <c r="D3" s="6" t="inlineStr">
        <is>
          <t>Debt</t>
        </is>
      </c>
      <c r="E3" s="6" t="inlineStr">
        <is>
          <t>SBA</t>
        </is>
      </c>
      <c r="F3" s="6" t="inlineStr">
        <is>
          <t>Loan</t>
        </is>
      </c>
      <c r="G3" s="6" t="inlineStr">
        <is>
          <t>Yes</t>
        </is>
      </c>
      <c r="H3" s="6" t="inlineStr">
        <is>
          <t>Loan #2268</t>
        </is>
      </c>
    </row>
    <row r="4">
      <c r="A4" s="6" t="inlineStr">
        <is>
          <t>Brinx Security</t>
        </is>
      </c>
      <c r="B4" s="7" t="n">
        <v>44.99</v>
      </c>
      <c r="C4" s="8" t="n">
        <v>1</v>
      </c>
      <c r="D4" s="6" t="inlineStr">
        <is>
          <t>Security</t>
        </is>
      </c>
      <c r="E4" s="6" t="inlineStr">
        <is>
          <t>Brinx</t>
        </is>
      </c>
      <c r="F4" s="6" t="inlineStr">
        <is>
          <t>Operating</t>
        </is>
      </c>
      <c r="G4" s="6" t="inlineStr">
        <is>
          <t>Yes</t>
        </is>
      </c>
      <c r="H4" s="6" t="inlineStr">
        <is>
          <t>Monthly monitoring</t>
        </is>
      </c>
    </row>
    <row r="5">
      <c r="A5" s="6" t="inlineStr">
        <is>
          <t>Microsoft Office</t>
        </is>
      </c>
      <c r="B5" s="7" t="n">
        <v>6.78</v>
      </c>
      <c r="C5" s="8" t="n">
        <v>8</v>
      </c>
      <c r="D5" s="6" t="inlineStr">
        <is>
          <t>Software</t>
        </is>
      </c>
      <c r="E5" s="6" t="inlineStr">
        <is>
          <t>Microsoft</t>
        </is>
      </c>
      <c r="F5" s="6" t="inlineStr">
        <is>
          <t>Operating</t>
        </is>
      </c>
      <c r="G5" s="6" t="inlineStr">
        <is>
          <t>Yes</t>
        </is>
      </c>
      <c r="H5" s="6" t="inlineStr">
        <is>
          <t>Basic plan</t>
        </is>
      </c>
    </row>
    <row r="6">
      <c r="A6" s="6" t="inlineStr">
        <is>
          <t>Vonage</t>
        </is>
      </c>
      <c r="B6" s="7" t="n">
        <v>378</v>
      </c>
      <c r="C6" s="8" t="n">
        <v>8</v>
      </c>
      <c r="D6" s="6" t="inlineStr">
        <is>
          <t>Phone</t>
        </is>
      </c>
      <c r="E6" s="6" t="inlineStr">
        <is>
          <t>Vonage</t>
        </is>
      </c>
      <c r="F6" s="6" t="inlineStr">
        <is>
          <t>Operating</t>
        </is>
      </c>
      <c r="G6" s="6" t="inlineStr">
        <is>
          <t>Yes</t>
        </is>
      </c>
      <c r="H6" s="6" t="inlineStr">
        <is>
          <t>Business lines</t>
        </is>
      </c>
    </row>
    <row r="7">
      <c r="A7" s="6" t="inlineStr">
        <is>
          <t>Office Rent (10th)</t>
        </is>
      </c>
      <c r="B7" s="7" t="n">
        <v>1545.48</v>
      </c>
      <c r="C7" s="8" t="n">
        <v>10</v>
      </c>
      <c r="D7" s="6" t="inlineStr">
        <is>
          <t>Rent</t>
        </is>
      </c>
      <c r="E7" s="6" t="inlineStr">
        <is>
          <t>Property Management Co</t>
        </is>
      </c>
      <c r="F7" s="6" t="inlineStr">
        <is>
          <t>Operating</t>
        </is>
      </c>
      <c r="G7" s="6" t="inlineStr">
        <is>
          <t>Yes</t>
        </is>
      </c>
      <c r="H7" s="6" t="inlineStr">
        <is>
          <t>Split payment 2/3</t>
        </is>
      </c>
    </row>
    <row r="8">
      <c r="A8" s="6" t="inlineStr">
        <is>
          <t>Amur</t>
        </is>
      </c>
      <c r="B8" s="7" t="n">
        <v>1500</v>
      </c>
      <c r="C8" s="8" t="n">
        <v>10</v>
      </c>
      <c r="D8" s="6" t="inlineStr">
        <is>
          <t>Services</t>
        </is>
      </c>
      <c r="E8" s="6" t="inlineStr">
        <is>
          <t>Amur</t>
        </is>
      </c>
      <c r="F8" s="6" t="inlineStr">
        <is>
          <t>Operating</t>
        </is>
      </c>
      <c r="G8" s="6" t="inlineStr">
        <is>
          <t>No</t>
        </is>
      </c>
      <c r="H8" s="6" t="inlineStr">
        <is>
          <t>Monthly service</t>
        </is>
      </c>
    </row>
    <row r="9">
      <c r="A9" s="6" t="inlineStr">
        <is>
          <t>T-Mobile</t>
        </is>
      </c>
      <c r="B9" s="7" t="n">
        <v>600</v>
      </c>
      <c r="C9" s="8" t="n">
        <v>15</v>
      </c>
      <c r="D9" s="6" t="inlineStr">
        <is>
          <t>Phone</t>
        </is>
      </c>
      <c r="E9" s="6" t="inlineStr">
        <is>
          <t>T-Mobile</t>
        </is>
      </c>
      <c r="F9" s="6" t="inlineStr">
        <is>
          <t>Operating</t>
        </is>
      </c>
      <c r="G9" s="6" t="inlineStr">
        <is>
          <t>Yes</t>
        </is>
      </c>
      <c r="H9" s="6" t="inlineStr">
        <is>
          <t>Cell phones</t>
        </is>
      </c>
    </row>
    <row r="10">
      <c r="A10" s="6" t="inlineStr">
        <is>
          <t>Marketing</t>
        </is>
      </c>
      <c r="B10" s="7" t="n">
        <v>5000</v>
      </c>
      <c r="C10" s="8" t="n">
        <v>15</v>
      </c>
      <c r="D10" s="6" t="inlineStr">
        <is>
          <t>Marketing</t>
        </is>
      </c>
      <c r="E10" s="6" t="inlineStr">
        <is>
          <t>Various</t>
        </is>
      </c>
      <c r="F10" s="6" t="inlineStr">
        <is>
          <t>Marketing</t>
        </is>
      </c>
      <c r="G10" s="6" t="inlineStr">
        <is>
          <t>No</t>
        </is>
      </c>
      <c r="H10" s="6" t="inlineStr">
        <is>
          <t>Ad spend budget</t>
        </is>
      </c>
    </row>
    <row r="11">
      <c r="A11" s="6" t="inlineStr">
        <is>
          <t>Kemper Insurance</t>
        </is>
      </c>
      <c r="B11" s="7" t="n">
        <v>3206.84</v>
      </c>
      <c r="C11" s="8" t="n">
        <v>15</v>
      </c>
      <c r="D11" s="6" t="inlineStr">
        <is>
          <t>Insurance</t>
        </is>
      </c>
      <c r="E11" s="6" t="inlineStr">
        <is>
          <t>Kemper</t>
        </is>
      </c>
      <c r="F11" s="6" t="inlineStr">
        <is>
          <t>Insurance</t>
        </is>
      </c>
      <c r="G11" s="6" t="inlineStr">
        <is>
          <t>Yes</t>
        </is>
      </c>
      <c r="H11" s="6" t="inlineStr">
        <is>
          <t>General liability</t>
        </is>
      </c>
    </row>
    <row r="12">
      <c r="A12" s="6" t="inlineStr">
        <is>
          <t>Channel</t>
        </is>
      </c>
      <c r="B12" s="7" t="n">
        <v>1809</v>
      </c>
      <c r="C12" s="8" t="n">
        <v>15</v>
      </c>
      <c r="D12" s="6" t="inlineStr">
        <is>
          <t>Services</t>
        </is>
      </c>
      <c r="E12" s="6" t="inlineStr">
        <is>
          <t>Channel</t>
        </is>
      </c>
      <c r="F12" s="6" t="inlineStr">
        <is>
          <t>Operating</t>
        </is>
      </c>
      <c r="G12" s="6" t="inlineStr">
        <is>
          <t>No</t>
        </is>
      </c>
      <c r="H12" s="6" t="inlineStr">
        <is>
          <t>Monthly service</t>
        </is>
      </c>
    </row>
    <row r="13">
      <c r="A13" s="6" t="inlineStr">
        <is>
          <t>Intuit/QB</t>
        </is>
      </c>
      <c r="B13" s="7" t="n">
        <v>106.72</v>
      </c>
      <c r="C13" s="8" t="n">
        <v>15</v>
      </c>
      <c r="D13" s="6" t="inlineStr">
        <is>
          <t>Software</t>
        </is>
      </c>
      <c r="E13" s="6" t="inlineStr">
        <is>
          <t>Intuit</t>
        </is>
      </c>
      <c r="F13" s="6" t="inlineStr">
        <is>
          <t>Operating</t>
        </is>
      </c>
      <c r="G13" s="6" t="inlineStr">
        <is>
          <t>Yes</t>
        </is>
      </c>
      <c r="H13" s="6" t="inlineStr">
        <is>
          <t>QuickBooks</t>
        </is>
      </c>
    </row>
    <row r="14">
      <c r="A14" s="6" t="inlineStr">
        <is>
          <t>Ally Bank</t>
        </is>
      </c>
      <c r="B14" s="7" t="n">
        <v>820</v>
      </c>
      <c r="C14" s="8" t="n">
        <v>19</v>
      </c>
      <c r="D14" s="6" t="inlineStr">
        <is>
          <t>Debt</t>
        </is>
      </c>
      <c r="E14" s="6" t="inlineStr">
        <is>
          <t>Ally</t>
        </is>
      </c>
      <c r="F14" s="6" t="inlineStr">
        <is>
          <t>Credit Line</t>
        </is>
      </c>
      <c r="G14" s="6" t="inlineStr">
        <is>
          <t>Yes</t>
        </is>
      </c>
      <c r="H14" s="6" t="inlineStr">
        <is>
          <t>Credit line payment</t>
        </is>
      </c>
    </row>
    <row r="15">
      <c r="A15" s="6" t="inlineStr">
        <is>
          <t>Office Rent (20th)</t>
        </is>
      </c>
      <c r="B15" s="7" t="n">
        <v>1545.48</v>
      </c>
      <c r="C15" s="8" t="n">
        <v>20</v>
      </c>
      <c r="D15" s="6" t="inlineStr">
        <is>
          <t>Rent</t>
        </is>
      </c>
      <c r="E15" s="6" t="inlineStr">
        <is>
          <t>Property Management Co</t>
        </is>
      </c>
      <c r="F15" s="6" t="inlineStr">
        <is>
          <t>Operating</t>
        </is>
      </c>
      <c r="G15" s="6" t="inlineStr">
        <is>
          <t>Yes</t>
        </is>
      </c>
      <c r="H15" s="6" t="inlineStr">
        <is>
          <t>Split payment 3/3</t>
        </is>
      </c>
    </row>
    <row r="16">
      <c r="A16" s="6" t="inlineStr">
        <is>
          <t>American Family</t>
        </is>
      </c>
      <c r="B16" s="7" t="n">
        <v>2249.6</v>
      </c>
      <c r="C16" s="8" t="n">
        <v>20</v>
      </c>
      <c r="D16" s="6" t="inlineStr">
        <is>
          <t>Insurance</t>
        </is>
      </c>
      <c r="E16" s="6" t="inlineStr">
        <is>
          <t>American Family</t>
        </is>
      </c>
      <c r="F16" s="6" t="inlineStr">
        <is>
          <t>Insurance</t>
        </is>
      </c>
      <c r="G16" s="6" t="inlineStr">
        <is>
          <t>Yes</t>
        </is>
      </c>
      <c r="H16" s="6" t="inlineStr">
        <is>
          <t>Auto insurance</t>
        </is>
      </c>
    </row>
    <row r="17">
      <c r="A17" s="6" t="inlineStr">
        <is>
          <t>SRP</t>
        </is>
      </c>
      <c r="B17" s="7" t="n">
        <v>500</v>
      </c>
      <c r="C17" s="8" t="n">
        <v>21</v>
      </c>
      <c r="D17" s="6" t="inlineStr">
        <is>
          <t>Utilities</t>
        </is>
      </c>
      <c r="E17" s="6" t="inlineStr">
        <is>
          <t>SRP</t>
        </is>
      </c>
      <c r="F17" s="6" t="inlineStr">
        <is>
          <t>Operating</t>
        </is>
      </c>
      <c r="G17" s="6" t="inlineStr">
        <is>
          <t>Yes</t>
        </is>
      </c>
      <c r="H17" s="6" t="inlineStr">
        <is>
          <t>Electric</t>
        </is>
      </c>
    </row>
    <row r="18">
      <c r="A18" s="6" t="inlineStr">
        <is>
          <t>AC Service</t>
        </is>
      </c>
      <c r="B18" s="7" t="n">
        <v>322</v>
      </c>
      <c r="C18" s="8" t="n">
        <v>22</v>
      </c>
      <c r="D18" s="6" t="inlineStr">
        <is>
          <t>Maintenance</t>
        </is>
      </c>
      <c r="E18" s="6" t="inlineStr">
        <is>
          <t>AC Company</t>
        </is>
      </c>
      <c r="F18" s="6" t="inlineStr">
        <is>
          <t>Operating</t>
        </is>
      </c>
      <c r="G18" s="6" t="inlineStr">
        <is>
          <t>No</t>
        </is>
      </c>
      <c r="H18" s="6" t="inlineStr">
        <is>
          <t>Monthly service</t>
        </is>
      </c>
    </row>
    <row r="19">
      <c r="A19" s="6" t="inlineStr">
        <is>
          <t>Glassbiller</t>
        </is>
      </c>
      <c r="B19" s="7" t="n">
        <v>2210</v>
      </c>
      <c r="C19" s="8" t="n">
        <v>25</v>
      </c>
      <c r="D19" s="6" t="inlineStr">
        <is>
          <t>Software</t>
        </is>
      </c>
      <c r="E19" s="6" t="inlineStr">
        <is>
          <t>Glassbiller</t>
        </is>
      </c>
      <c r="F19" s="6" t="inlineStr">
        <is>
          <t>Operating</t>
        </is>
      </c>
      <c r="G19" s="6" t="inlineStr">
        <is>
          <t>Yes</t>
        </is>
      </c>
      <c r="H19" s="6" t="inlineStr">
        <is>
          <t>Industry software</t>
        </is>
      </c>
    </row>
    <row r="20">
      <c r="A20" s="6" t="inlineStr">
        <is>
          <t>Ally Equipment</t>
        </is>
      </c>
      <c r="B20" s="7" t="n">
        <v>580</v>
      </c>
      <c r="C20" s="8" t="n">
        <v>25</v>
      </c>
      <c r="D20" s="6" t="inlineStr">
        <is>
          <t>Debt</t>
        </is>
      </c>
      <c r="E20" s="6" t="inlineStr">
        <is>
          <t>Ally</t>
        </is>
      </c>
      <c r="F20" s="6" t="inlineStr">
        <is>
          <t>Equipment</t>
        </is>
      </c>
      <c r="G20" s="6" t="inlineStr">
        <is>
          <t>Yes</t>
        </is>
      </c>
      <c r="H20" s="6" t="inlineStr">
        <is>
          <t>Equipment loan</t>
        </is>
      </c>
    </row>
    <row r="21">
      <c r="A21" s="6" t="inlineStr">
        <is>
          <t>Navatias</t>
        </is>
      </c>
      <c r="B21" s="7" t="n">
        <v>2400</v>
      </c>
      <c r="C21" s="8" t="n">
        <v>25</v>
      </c>
      <c r="D21" s="6" t="inlineStr">
        <is>
          <t>Services</t>
        </is>
      </c>
      <c r="E21" s="6" t="inlineStr">
        <is>
          <t>Navatias</t>
        </is>
      </c>
      <c r="F21" s="6" t="inlineStr">
        <is>
          <t>Operating</t>
        </is>
      </c>
      <c r="G21" s="6" t="inlineStr">
        <is>
          <t>No</t>
        </is>
      </c>
      <c r="H21" s="6" t="inlineStr">
        <is>
          <t>Consulting</t>
        </is>
      </c>
    </row>
    <row r="22">
      <c r="A22" s="6" t="inlineStr">
        <is>
          <t>Microsoft 365</t>
        </is>
      </c>
      <c r="B22" s="7" t="n">
        <v>113.25</v>
      </c>
      <c r="C22" s="8" t="n">
        <v>25</v>
      </c>
      <c r="D22" s="6" t="inlineStr">
        <is>
          <t>Software</t>
        </is>
      </c>
      <c r="E22" s="6" t="inlineStr">
        <is>
          <t>Microsoft</t>
        </is>
      </c>
      <c r="F22" s="6" t="inlineStr">
        <is>
          <t>Operating</t>
        </is>
      </c>
      <c r="G22" s="6" t="inlineStr">
        <is>
          <t>Yes</t>
        </is>
      </c>
      <c r="H22" s="6" t="inlineStr">
        <is>
          <t>Business premium</t>
        </is>
      </c>
    </row>
    <row r="23">
      <c r="A23" s="6" t="inlineStr">
        <is>
          <t>Workers Comp</t>
        </is>
      </c>
      <c r="B23" s="7" t="n">
        <v>715.52</v>
      </c>
      <c r="C23" s="8" t="n">
        <v>26</v>
      </c>
      <c r="D23" s="6" t="inlineStr">
        <is>
          <t>Insurance</t>
        </is>
      </c>
      <c r="E23" s="6" t="inlineStr">
        <is>
          <t>State Fund</t>
        </is>
      </c>
      <c r="F23" s="6" t="inlineStr">
        <is>
          <t>Insurance</t>
        </is>
      </c>
      <c r="G23" s="6" t="inlineStr">
        <is>
          <t>Yes</t>
        </is>
      </c>
      <c r="H23" s="6" t="inlineStr">
        <is>
          <t>Workers comp</t>
        </is>
      </c>
    </row>
    <row r="24">
      <c r="A24" s="6" t="inlineStr">
        <is>
          <t>Cox Internet</t>
        </is>
      </c>
      <c r="B24" s="7" t="n">
        <v>500</v>
      </c>
      <c r="C24" s="8" t="n">
        <v>27</v>
      </c>
      <c r="D24" s="6" t="inlineStr">
        <is>
          <t>Utilities</t>
        </is>
      </c>
      <c r="E24" s="6" t="inlineStr">
        <is>
          <t>Cox</t>
        </is>
      </c>
      <c r="F24" s="6" t="inlineStr">
        <is>
          <t>Operating</t>
        </is>
      </c>
      <c r="G24" s="6" t="inlineStr">
        <is>
          <t>Yes</t>
        </is>
      </c>
      <c r="H24" s="6" t="inlineStr">
        <is>
          <t>Business internet</t>
        </is>
      </c>
    </row>
    <row r="25">
      <c r="A25" s="6" t="inlineStr">
        <is>
          <t>Ally Vehicle</t>
        </is>
      </c>
      <c r="B25" s="7" t="n">
        <v>600</v>
      </c>
      <c r="C25" s="8" t="n">
        <v>27</v>
      </c>
      <c r="D25" s="6" t="inlineStr">
        <is>
          <t>Debt</t>
        </is>
      </c>
      <c r="E25" s="6" t="inlineStr">
        <is>
          <t>Ally</t>
        </is>
      </c>
      <c r="F25" s="6" t="inlineStr">
        <is>
          <t>Vehicle</t>
        </is>
      </c>
      <c r="G25" s="6" t="inlineStr">
        <is>
          <t>Yes</t>
        </is>
      </c>
      <c r="H25" s="6" t="inlineStr">
        <is>
          <t>Vehicle loan</t>
        </is>
      </c>
    </row>
    <row r="26">
      <c r="A26" s="6" t="inlineStr">
        <is>
          <t>Sales Tax</t>
        </is>
      </c>
      <c r="B26" s="7" t="n">
        <v>2000</v>
      </c>
      <c r="C26" s="8" t="n">
        <v>30</v>
      </c>
      <c r="D26" s="6" t="inlineStr">
        <is>
          <t>Tax</t>
        </is>
      </c>
      <c r="E26" s="6" t="inlineStr">
        <is>
          <t>State</t>
        </is>
      </c>
      <c r="F26" s="6" t="inlineStr">
        <is>
          <t>Tax</t>
        </is>
      </c>
      <c r="G26" s="6" t="inlineStr">
        <is>
          <t>No</t>
        </is>
      </c>
      <c r="H26" s="6" t="inlineStr">
        <is>
          <t>Estimated monthly</t>
        </is>
      </c>
    </row>
    <row r="27">
      <c r="A27" s="9" t="inlineStr">
        <is>
          <t>TOTAL MONTHLY</t>
        </is>
      </c>
      <c r="B27" s="10">
        <f>SUM(B2:B26)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Employee Name</t>
        </is>
      </c>
      <c r="B1" s="5" t="inlineStr">
        <is>
          <t>Position</t>
        </is>
      </c>
      <c r="C1" s="5" t="inlineStr">
        <is>
          <t>Type</t>
        </is>
      </c>
      <c r="D1" s="5" t="inlineStr">
        <is>
          <t>Base Pay</t>
        </is>
      </c>
      <c r="E1" s="5" t="inlineStr">
        <is>
          <t>Hours/Period</t>
        </is>
      </c>
      <c r="F1" s="5" t="inlineStr">
        <is>
          <t>Rate</t>
        </is>
      </c>
      <c r="G1" s="5" t="inlineStr">
        <is>
          <t>Gross Pay</t>
        </is>
      </c>
      <c r="H1" s="5" t="inlineStr">
        <is>
          <t>Taxes</t>
        </is>
      </c>
      <c r="I1" s="5" t="inlineStr">
        <is>
          <t>Benefits</t>
        </is>
      </c>
      <c r="J1" s="5" t="inlineStr">
        <is>
          <t>Net Pay</t>
        </is>
      </c>
      <c r="K1" s="5" t="inlineStr">
        <is>
          <t>Pay Date</t>
        </is>
      </c>
      <c r="L1" s="5" t="inlineStr">
        <is>
          <t>Status</t>
        </is>
      </c>
    </row>
    <row r="2">
      <c r="A2" s="6" t="inlineStr">
        <is>
          <t>John Smith</t>
        </is>
      </c>
      <c r="B2" s="6" t="inlineStr">
        <is>
          <t>Senior Technician</t>
        </is>
      </c>
      <c r="C2" s="6" t="inlineStr">
        <is>
          <t>Hourly</t>
        </is>
      </c>
      <c r="D2" s="7" t="inlineStr"/>
      <c r="E2" s="6" t="n">
        <v>80</v>
      </c>
      <c r="F2" s="7" t="n">
        <v>35</v>
      </c>
      <c r="G2" s="7">
        <f>E2*F2</f>
        <v/>
      </c>
      <c r="H2" s="7">
        <f>G2*0.15</f>
        <v/>
      </c>
      <c r="I2" s="7" t="n">
        <v>200</v>
      </c>
      <c r="J2" s="7">
        <f>G2-H2-I2</f>
        <v/>
      </c>
      <c r="K2" s="8" t="n">
        <v>5</v>
      </c>
      <c r="L2" s="6" t="inlineStr">
        <is>
          <t>Pending</t>
        </is>
      </c>
    </row>
    <row r="3">
      <c r="A3" s="6" t="inlineStr">
        <is>
          <t>Maria Garcia</t>
        </is>
      </c>
      <c r="B3" s="6" t="inlineStr">
        <is>
          <t>Technician</t>
        </is>
      </c>
      <c r="C3" s="6" t="inlineStr">
        <is>
          <t>Hourly</t>
        </is>
      </c>
      <c r="D3" s="7" t="inlineStr"/>
      <c r="E3" s="6" t="n">
        <v>80</v>
      </c>
      <c r="F3" s="7" t="n">
        <v>28</v>
      </c>
      <c r="G3" s="7">
        <f>E3*F3</f>
        <v/>
      </c>
      <c r="H3" s="7">
        <f>G3*0.15</f>
        <v/>
      </c>
      <c r="I3" s="7" t="n">
        <v>150</v>
      </c>
      <c r="J3" s="7">
        <f>G3-H3-I3</f>
        <v/>
      </c>
      <c r="K3" s="8" t="n">
        <v>5</v>
      </c>
      <c r="L3" s="6" t="inlineStr">
        <is>
          <t>Pending</t>
        </is>
      </c>
    </row>
    <row r="4">
      <c r="A4" s="6" t="inlineStr">
        <is>
          <t>Mike Johnson</t>
        </is>
      </c>
      <c r="B4" s="6" t="inlineStr">
        <is>
          <t>Technician</t>
        </is>
      </c>
      <c r="C4" s="6" t="inlineStr">
        <is>
          <t>Hourly</t>
        </is>
      </c>
      <c r="D4" s="7" t="inlineStr"/>
      <c r="E4" s="6" t="n">
        <v>75</v>
      </c>
      <c r="F4" s="7" t="n">
        <v>25</v>
      </c>
      <c r="G4" s="7">
        <f>E4*F4</f>
        <v/>
      </c>
      <c r="H4" s="7">
        <f>G4*0.15</f>
        <v/>
      </c>
      <c r="I4" s="7" t="n">
        <v>150</v>
      </c>
      <c r="J4" s="7">
        <f>G4-H4-I4</f>
        <v/>
      </c>
      <c r="K4" s="8" t="n">
        <v>5</v>
      </c>
      <c r="L4" s="6" t="inlineStr">
        <is>
          <t>Pending</t>
        </is>
      </c>
    </row>
    <row r="5">
      <c r="A5" s="6" t="inlineStr">
        <is>
          <t>Sarah Williams</t>
        </is>
      </c>
      <c r="B5" s="6" t="inlineStr">
        <is>
          <t>Office Manager</t>
        </is>
      </c>
      <c r="C5" s="6" t="inlineStr">
        <is>
          <t>Salary</t>
        </is>
      </c>
      <c r="D5" s="7" t="n">
        <v>3500</v>
      </c>
      <c r="E5" s="6" t="inlineStr"/>
      <c r="F5" s="7" t="inlineStr"/>
      <c r="G5" s="7">
        <f>D5</f>
        <v/>
      </c>
      <c r="H5" s="7">
        <f>G5*0.15</f>
        <v/>
      </c>
      <c r="I5" s="7" t="n">
        <v>200</v>
      </c>
      <c r="J5" s="7">
        <f>G5-H5-I5</f>
        <v/>
      </c>
      <c r="K5" s="8" t="n">
        <v>5</v>
      </c>
      <c r="L5" s="6" t="inlineStr">
        <is>
          <t>Pending</t>
        </is>
      </c>
    </row>
    <row r="6">
      <c r="A6" s="6" t="inlineStr">
        <is>
          <t>David Brown</t>
        </is>
      </c>
      <c r="B6" s="6" t="inlineStr">
        <is>
          <t>Sales</t>
        </is>
      </c>
      <c r="C6" s="6" t="inlineStr">
        <is>
          <t>Commission</t>
        </is>
      </c>
      <c r="D6" s="7" t="n">
        <v>2000</v>
      </c>
      <c r="E6" s="6" t="inlineStr"/>
      <c r="F6" s="7" t="inlineStr"/>
      <c r="G6" s="7">
        <f>D6+2500</f>
        <v/>
      </c>
      <c r="H6" s="7">
        <f>G6*0.15</f>
        <v/>
      </c>
      <c r="I6" s="7" t="n">
        <v>150</v>
      </c>
      <c r="J6" s="7">
        <f>G6-H6-I6</f>
        <v/>
      </c>
      <c r="K6" s="8" t="n">
        <v>5</v>
      </c>
      <c r="L6" s="6" t="inlineStr">
        <is>
          <t>Pending</t>
        </is>
      </c>
    </row>
    <row r="7">
      <c r="A7" s="6" t="inlineStr">
        <is>
          <t>Jennifer Lee</t>
        </is>
      </c>
      <c r="B7" s="6" t="inlineStr">
        <is>
          <t>Accounting</t>
        </is>
      </c>
      <c r="C7" s="6" t="inlineStr">
        <is>
          <t>Salary</t>
        </is>
      </c>
      <c r="D7" s="7" t="n">
        <v>3000</v>
      </c>
      <c r="E7" s="6" t="inlineStr"/>
      <c r="F7" s="7" t="inlineStr"/>
      <c r="G7" s="7">
        <f>D7</f>
        <v/>
      </c>
      <c r="H7" s="7">
        <f>G7*0.15</f>
        <v/>
      </c>
      <c r="I7" s="7" t="n">
        <v>200</v>
      </c>
      <c r="J7" s="7">
        <f>G7-H7-I7</f>
        <v/>
      </c>
      <c r="K7" s="8" t="n">
        <v>20</v>
      </c>
      <c r="L7" s="6" t="inlineStr">
        <is>
          <t>Pending</t>
        </is>
      </c>
    </row>
    <row r="8">
      <c r="A8" s="6" t="inlineStr">
        <is>
          <t>Robert Taylor</t>
        </is>
      </c>
      <c r="B8" s="6" t="inlineStr">
        <is>
          <t>Technician</t>
        </is>
      </c>
      <c r="C8" s="6" t="inlineStr">
        <is>
          <t>Hourly</t>
        </is>
      </c>
      <c r="D8" s="7" t="inlineStr"/>
      <c r="E8" s="6" t="n">
        <v>80</v>
      </c>
      <c r="F8" s="7" t="n">
        <v>26</v>
      </c>
      <c r="G8" s="7">
        <f>E8*F8</f>
        <v/>
      </c>
      <c r="H8" s="7">
        <f>G8*0.15</f>
        <v/>
      </c>
      <c r="I8" s="7" t="n">
        <v>150</v>
      </c>
      <c r="J8" s="7">
        <f>G8-H8-I8</f>
        <v/>
      </c>
      <c r="K8" s="8" t="n">
        <v>20</v>
      </c>
      <c r="L8" s="6" t="inlineStr">
        <is>
          <t>Pending</t>
        </is>
      </c>
    </row>
    <row r="9">
      <c r="A9" s="6" t="inlineStr">
        <is>
          <t>Lisa Anderson</t>
        </is>
      </c>
      <c r="B9" s="6" t="inlineStr">
        <is>
          <t>Customer Service</t>
        </is>
      </c>
      <c r="C9" s="6" t="inlineStr">
        <is>
          <t>Hourly</t>
        </is>
      </c>
      <c r="D9" s="7" t="inlineStr"/>
      <c r="E9" s="6" t="n">
        <v>80</v>
      </c>
      <c r="F9" s="7" t="n">
        <v>18</v>
      </c>
      <c r="G9" s="7">
        <f>E9*F9</f>
        <v/>
      </c>
      <c r="H9" s="7">
        <f>G9*0.15</f>
        <v/>
      </c>
      <c r="I9" s="7" t="n">
        <v>100</v>
      </c>
      <c r="J9" s="7">
        <f>G9-H9-I9</f>
        <v/>
      </c>
      <c r="K9" s="8" t="n">
        <v>20</v>
      </c>
      <c r="L9" s="6" t="inlineStr">
        <is>
          <t>Pending</t>
        </is>
      </c>
    </row>
    <row r="10">
      <c r="A10" s="9" t="inlineStr">
        <is>
          <t>TOTALS</t>
        </is>
      </c>
      <c r="G10" s="10">
        <f>SUM(G2:G9)</f>
        <v/>
      </c>
      <c r="H10" s="10">
        <f>SUM(H2:H9)</f>
        <v/>
      </c>
      <c r="I10" s="10">
        <f>SUM(I2:I9)</f>
        <v/>
      </c>
      <c r="J10" s="10">
        <f>SUM(J2:J9)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Invoice #</t>
        </is>
      </c>
      <c r="C1" s="5" t="inlineStr">
        <is>
          <t>Customer</t>
        </is>
      </c>
      <c r="D1" s="5" t="inlineStr">
        <is>
          <t>Part Description</t>
        </is>
      </c>
      <c r="E1" s="5" t="inlineStr">
        <is>
          <t>Part Cost</t>
        </is>
      </c>
      <c r="F1" s="5" t="inlineStr">
        <is>
          <t>Supplier</t>
        </is>
      </c>
      <c r="G1" s="5" t="inlineStr">
        <is>
          <t>Markup %</t>
        </is>
      </c>
      <c r="H1" s="5" t="inlineStr">
        <is>
          <t>Sale Price</t>
        </is>
      </c>
      <c r="I1" s="5" t="inlineStr">
        <is>
          <t>Payment Terms</t>
        </is>
      </c>
      <c r="J1" s="5" t="inlineStr">
        <is>
          <t>Due Date</t>
        </is>
      </c>
      <c r="K1" s="5" t="inlineStr">
        <is>
          <t>Status</t>
        </is>
      </c>
    </row>
    <row r="2">
      <c r="A2" s="6" t="inlineStr">
        <is>
          <t>08/31/2025</t>
        </is>
      </c>
      <c r="B2" s="6" t="inlineStr">
        <is>
          <t>INV-4500</t>
        </is>
      </c>
      <c r="C2" s="6" t="inlineStr">
        <is>
          <t>Customer 1</t>
        </is>
      </c>
      <c r="D2" s="6" t="inlineStr">
        <is>
          <t>Windshield</t>
        </is>
      </c>
      <c r="E2" s="7" t="n">
        <v>150</v>
      </c>
      <c r="F2" s="6" t="inlineStr">
        <is>
          <t>PGW</t>
        </is>
      </c>
      <c r="G2" s="6" t="n">
        <v>50</v>
      </c>
      <c r="H2" s="7">
        <f>E2*(1+G2/100)</f>
        <v/>
      </c>
      <c r="I2" s="6" t="inlineStr">
        <is>
          <t>Net 30</t>
        </is>
      </c>
      <c r="J2" s="6" t="inlineStr">
        <is>
          <t>09/30/2025</t>
        </is>
      </c>
      <c r="K2" s="6" t="inlineStr">
        <is>
          <t>Paid</t>
        </is>
      </c>
    </row>
    <row r="3">
      <c r="A3" s="6" t="inlineStr">
        <is>
          <t>09/01/2025</t>
        </is>
      </c>
      <c r="B3" s="6" t="inlineStr">
        <is>
          <t>INV-4501</t>
        </is>
      </c>
      <c r="C3" s="6" t="inlineStr">
        <is>
          <t>Customer 2</t>
        </is>
      </c>
      <c r="D3" s="6" t="inlineStr">
        <is>
          <t>Side Window</t>
        </is>
      </c>
      <c r="E3" s="7" t="n">
        <v>170</v>
      </c>
      <c r="F3" s="6" t="inlineStr">
        <is>
          <t>Safelite Supply</t>
        </is>
      </c>
      <c r="G3" s="6" t="n">
        <v>50</v>
      </c>
      <c r="H3" s="7">
        <f>E3*(1+G3/100)</f>
        <v/>
      </c>
      <c r="I3" s="6" t="inlineStr">
        <is>
          <t>Net 15</t>
        </is>
      </c>
      <c r="J3" s="6" t="inlineStr">
        <is>
          <t>09/16/2025</t>
        </is>
      </c>
      <c r="K3" s="6" t="inlineStr">
        <is>
          <t>Paid</t>
        </is>
      </c>
    </row>
    <row r="4">
      <c r="A4" s="6" t="inlineStr">
        <is>
          <t>09/02/2025</t>
        </is>
      </c>
      <c r="B4" s="6" t="inlineStr">
        <is>
          <t>INV-4502</t>
        </is>
      </c>
      <c r="C4" s="6" t="inlineStr">
        <is>
          <t>Customer 3</t>
        </is>
      </c>
      <c r="D4" s="6" t="inlineStr">
        <is>
          <t>Rear Window</t>
        </is>
      </c>
      <c r="E4" s="7" t="n">
        <v>190</v>
      </c>
      <c r="F4" s="6" t="inlineStr">
        <is>
          <t>PGW</t>
        </is>
      </c>
      <c r="G4" s="6" t="n">
        <v>50</v>
      </c>
      <c r="H4" s="7">
        <f>E4*(1+G4/100)</f>
        <v/>
      </c>
      <c r="I4" s="6" t="inlineStr">
        <is>
          <t>Net 15</t>
        </is>
      </c>
      <c r="J4" s="6" t="inlineStr">
        <is>
          <t>09/17/2025</t>
        </is>
      </c>
      <c r="K4" s="6" t="inlineStr">
        <is>
          <t>Paid</t>
        </is>
      </c>
    </row>
    <row r="5">
      <c r="A5" s="6" t="inlineStr">
        <is>
          <t>09/03/2025</t>
        </is>
      </c>
      <c r="B5" s="6" t="inlineStr">
        <is>
          <t>INV-4503</t>
        </is>
      </c>
      <c r="C5" s="6" t="inlineStr">
        <is>
          <t>Customer 4</t>
        </is>
      </c>
      <c r="D5" s="6" t="inlineStr">
        <is>
          <t>Windshield</t>
        </is>
      </c>
      <c r="E5" s="7" t="n">
        <v>210</v>
      </c>
      <c r="F5" s="6" t="inlineStr">
        <is>
          <t>Safelite Supply</t>
        </is>
      </c>
      <c r="G5" s="6" t="n">
        <v>50</v>
      </c>
      <c r="H5" s="7">
        <f>E5*(1+G5/100)</f>
        <v/>
      </c>
      <c r="I5" s="6" t="inlineStr">
        <is>
          <t>Net 30</t>
        </is>
      </c>
      <c r="J5" s="6" t="inlineStr">
        <is>
          <t>10/03/2025</t>
        </is>
      </c>
      <c r="K5" s="6" t="inlineStr">
        <is>
          <t>Paid</t>
        </is>
      </c>
    </row>
    <row r="6">
      <c r="A6" s="6" t="inlineStr">
        <is>
          <t>09/04/2025</t>
        </is>
      </c>
      <c r="B6" s="6" t="inlineStr">
        <is>
          <t>INV-4504</t>
        </is>
      </c>
      <c r="C6" s="6" t="inlineStr">
        <is>
          <t>Customer 5</t>
        </is>
      </c>
      <c r="D6" s="6" t="inlineStr">
        <is>
          <t>Side Window</t>
        </is>
      </c>
      <c r="E6" s="7" t="n">
        <v>230</v>
      </c>
      <c r="F6" s="6" t="inlineStr">
        <is>
          <t>PGW</t>
        </is>
      </c>
      <c r="G6" s="6" t="n">
        <v>50</v>
      </c>
      <c r="H6" s="7">
        <f>E6*(1+G6/100)</f>
        <v/>
      </c>
      <c r="I6" s="6" t="inlineStr">
        <is>
          <t>Net 15</t>
        </is>
      </c>
      <c r="J6" s="6" t="inlineStr">
        <is>
          <t>09/19/2025</t>
        </is>
      </c>
      <c r="K6" s="6" t="inlineStr">
        <is>
          <t>Paid</t>
        </is>
      </c>
    </row>
    <row r="7">
      <c r="A7" s="6" t="inlineStr">
        <is>
          <t>09/05/2025</t>
        </is>
      </c>
      <c r="B7" s="6" t="inlineStr">
        <is>
          <t>INV-4505</t>
        </is>
      </c>
      <c r="C7" s="6" t="inlineStr">
        <is>
          <t>Customer 6</t>
        </is>
      </c>
      <c r="D7" s="6" t="inlineStr">
        <is>
          <t>Rear Window</t>
        </is>
      </c>
      <c r="E7" s="7" t="n">
        <v>150</v>
      </c>
      <c r="F7" s="6" t="inlineStr">
        <is>
          <t>Safelite Supply</t>
        </is>
      </c>
      <c r="G7" s="6" t="n">
        <v>50</v>
      </c>
      <c r="H7" s="7">
        <f>E7*(1+G7/100)</f>
        <v/>
      </c>
      <c r="I7" s="6" t="inlineStr">
        <is>
          <t>Net 15</t>
        </is>
      </c>
      <c r="J7" s="6" t="inlineStr">
        <is>
          <t>09/20/2025</t>
        </is>
      </c>
      <c r="K7" s="6" t="inlineStr">
        <is>
          <t>Paid</t>
        </is>
      </c>
    </row>
    <row r="8">
      <c r="A8" s="6" t="inlineStr">
        <is>
          <t>09/06/2025</t>
        </is>
      </c>
      <c r="B8" s="6" t="inlineStr">
        <is>
          <t>INV-4506</t>
        </is>
      </c>
      <c r="C8" s="6" t="inlineStr">
        <is>
          <t>Customer 7</t>
        </is>
      </c>
      <c r="D8" s="6" t="inlineStr">
        <is>
          <t>Windshield</t>
        </is>
      </c>
      <c r="E8" s="7" t="n">
        <v>170</v>
      </c>
      <c r="F8" s="6" t="inlineStr">
        <is>
          <t>PGW</t>
        </is>
      </c>
      <c r="G8" s="6" t="n">
        <v>50</v>
      </c>
      <c r="H8" s="7">
        <f>E8*(1+G8/100)</f>
        <v/>
      </c>
      <c r="I8" s="6" t="inlineStr">
        <is>
          <t>Net 30</t>
        </is>
      </c>
      <c r="J8" s="6" t="inlineStr">
        <is>
          <t>10/06/2025</t>
        </is>
      </c>
      <c r="K8" s="6" t="inlineStr">
        <is>
          <t>Paid</t>
        </is>
      </c>
    </row>
    <row r="9">
      <c r="A9" s="6" t="inlineStr">
        <is>
          <t>09/07/2025</t>
        </is>
      </c>
      <c r="B9" s="6" t="inlineStr">
        <is>
          <t>INV-4507</t>
        </is>
      </c>
      <c r="C9" s="6" t="inlineStr">
        <is>
          <t>Customer 8</t>
        </is>
      </c>
      <c r="D9" s="6" t="inlineStr">
        <is>
          <t>Side Window</t>
        </is>
      </c>
      <c r="E9" s="7" t="n">
        <v>190</v>
      </c>
      <c r="F9" s="6" t="inlineStr">
        <is>
          <t>Safelite Supply</t>
        </is>
      </c>
      <c r="G9" s="6" t="n">
        <v>50</v>
      </c>
      <c r="H9" s="7">
        <f>E9*(1+G9/100)</f>
        <v/>
      </c>
      <c r="I9" s="6" t="inlineStr">
        <is>
          <t>Net 15</t>
        </is>
      </c>
      <c r="J9" s="6" t="inlineStr">
        <is>
          <t>09/22/2025</t>
        </is>
      </c>
      <c r="K9" s="6" t="inlineStr">
        <is>
          <t>Paid</t>
        </is>
      </c>
    </row>
    <row r="10">
      <c r="A10" s="6" t="inlineStr">
        <is>
          <t>09/08/2025</t>
        </is>
      </c>
      <c r="B10" s="6" t="inlineStr">
        <is>
          <t>INV-4508</t>
        </is>
      </c>
      <c r="C10" s="6" t="inlineStr">
        <is>
          <t>Customer 9</t>
        </is>
      </c>
      <c r="D10" s="6" t="inlineStr">
        <is>
          <t>Rear Window</t>
        </is>
      </c>
      <c r="E10" s="7" t="n">
        <v>210</v>
      </c>
      <c r="F10" s="6" t="inlineStr">
        <is>
          <t>PGW</t>
        </is>
      </c>
      <c r="G10" s="6" t="n">
        <v>50</v>
      </c>
      <c r="H10" s="7">
        <f>E10*(1+G10/100)</f>
        <v/>
      </c>
      <c r="I10" s="6" t="inlineStr">
        <is>
          <t>Net 15</t>
        </is>
      </c>
      <c r="J10" s="6" t="inlineStr">
        <is>
          <t>09/23/2025</t>
        </is>
      </c>
      <c r="K10" s="6" t="inlineStr">
        <is>
          <t>Paid</t>
        </is>
      </c>
    </row>
    <row r="11">
      <c r="A11" s="6" t="inlineStr">
        <is>
          <t>09/09/2025</t>
        </is>
      </c>
      <c r="B11" s="6" t="inlineStr">
        <is>
          <t>INV-4509</t>
        </is>
      </c>
      <c r="C11" s="6" t="inlineStr">
        <is>
          <t>Customer 10</t>
        </is>
      </c>
      <c r="D11" s="6" t="inlineStr">
        <is>
          <t>Windshield</t>
        </is>
      </c>
      <c r="E11" s="7" t="n">
        <v>230</v>
      </c>
      <c r="F11" s="6" t="inlineStr">
        <is>
          <t>Safelite Supply</t>
        </is>
      </c>
      <c r="G11" s="6" t="n">
        <v>50</v>
      </c>
      <c r="H11" s="7">
        <f>E11*(1+G11/100)</f>
        <v/>
      </c>
      <c r="I11" s="6" t="inlineStr">
        <is>
          <t>Net 30</t>
        </is>
      </c>
      <c r="J11" s="6" t="inlineStr">
        <is>
          <t>10/09/2025</t>
        </is>
      </c>
      <c r="K11" s="6" t="inlineStr">
        <is>
          <t>Paid</t>
        </is>
      </c>
    </row>
    <row r="12">
      <c r="A12" s="6" t="inlineStr">
        <is>
          <t>09/10/2025</t>
        </is>
      </c>
      <c r="B12" s="6" t="inlineStr">
        <is>
          <t>INV-4510</t>
        </is>
      </c>
      <c r="C12" s="6" t="inlineStr">
        <is>
          <t>Customer 11</t>
        </is>
      </c>
      <c r="D12" s="6" t="inlineStr">
        <is>
          <t>Side Window</t>
        </is>
      </c>
      <c r="E12" s="7" t="n">
        <v>150</v>
      </c>
      <c r="F12" s="6" t="inlineStr">
        <is>
          <t>PGW</t>
        </is>
      </c>
      <c r="G12" s="6" t="n">
        <v>50</v>
      </c>
      <c r="H12" s="7">
        <f>E12*(1+G12/100)</f>
        <v/>
      </c>
      <c r="I12" s="6" t="inlineStr">
        <is>
          <t>Net 15</t>
        </is>
      </c>
      <c r="J12" s="6" t="inlineStr">
        <is>
          <t>09/25/2025</t>
        </is>
      </c>
      <c r="K12" s="6" t="inlineStr">
        <is>
          <t>Paid</t>
        </is>
      </c>
    </row>
    <row r="13">
      <c r="A13" s="6" t="inlineStr">
        <is>
          <t>09/11/2025</t>
        </is>
      </c>
      <c r="B13" s="6" t="inlineStr">
        <is>
          <t>INV-4511</t>
        </is>
      </c>
      <c r="C13" s="6" t="inlineStr">
        <is>
          <t>Customer 12</t>
        </is>
      </c>
      <c r="D13" s="6" t="inlineStr">
        <is>
          <t>Rear Window</t>
        </is>
      </c>
      <c r="E13" s="7" t="n">
        <v>170</v>
      </c>
      <c r="F13" s="6" t="inlineStr">
        <is>
          <t>Safelite Supply</t>
        </is>
      </c>
      <c r="G13" s="6" t="n">
        <v>50</v>
      </c>
      <c r="H13" s="7">
        <f>E13*(1+G13/100)</f>
        <v/>
      </c>
      <c r="I13" s="6" t="inlineStr">
        <is>
          <t>Net 15</t>
        </is>
      </c>
      <c r="J13" s="6" t="inlineStr">
        <is>
          <t>09/26/2025</t>
        </is>
      </c>
      <c r="K13" s="6" t="inlineStr">
        <is>
          <t>Paid</t>
        </is>
      </c>
    </row>
    <row r="14">
      <c r="A14" s="6" t="inlineStr">
        <is>
          <t>09/12/2025</t>
        </is>
      </c>
      <c r="B14" s="6" t="inlineStr">
        <is>
          <t>INV-4512</t>
        </is>
      </c>
      <c r="C14" s="6" t="inlineStr">
        <is>
          <t>Customer 13</t>
        </is>
      </c>
      <c r="D14" s="6" t="inlineStr">
        <is>
          <t>Windshield</t>
        </is>
      </c>
      <c r="E14" s="7" t="n">
        <v>190</v>
      </c>
      <c r="F14" s="6" t="inlineStr">
        <is>
          <t>PGW</t>
        </is>
      </c>
      <c r="G14" s="6" t="n">
        <v>50</v>
      </c>
      <c r="H14" s="7">
        <f>E14*(1+G14/100)</f>
        <v/>
      </c>
      <c r="I14" s="6" t="inlineStr">
        <is>
          <t>Net 30</t>
        </is>
      </c>
      <c r="J14" s="6" t="inlineStr">
        <is>
          <t>10/12/2025</t>
        </is>
      </c>
      <c r="K14" s="6" t="inlineStr">
        <is>
          <t>Paid</t>
        </is>
      </c>
    </row>
    <row r="15">
      <c r="A15" s="6" t="inlineStr">
        <is>
          <t>09/13/2025</t>
        </is>
      </c>
      <c r="B15" s="6" t="inlineStr">
        <is>
          <t>INV-4513</t>
        </is>
      </c>
      <c r="C15" s="6" t="inlineStr">
        <is>
          <t>Customer 14</t>
        </is>
      </c>
      <c r="D15" s="6" t="inlineStr">
        <is>
          <t>Side Window</t>
        </is>
      </c>
      <c r="E15" s="7" t="n">
        <v>210</v>
      </c>
      <c r="F15" s="6" t="inlineStr">
        <is>
          <t>Safelite Supply</t>
        </is>
      </c>
      <c r="G15" s="6" t="n">
        <v>50</v>
      </c>
      <c r="H15" s="7">
        <f>E15*(1+G15/100)</f>
        <v/>
      </c>
      <c r="I15" s="6" t="inlineStr">
        <is>
          <t>Net 15</t>
        </is>
      </c>
      <c r="J15" s="6" t="inlineStr">
        <is>
          <t>09/28/2025</t>
        </is>
      </c>
      <c r="K15" s="6" t="inlineStr">
        <is>
          <t>Paid</t>
        </is>
      </c>
    </row>
    <row r="16">
      <c r="A16" s="6" t="inlineStr">
        <is>
          <t>09/14/2025</t>
        </is>
      </c>
      <c r="B16" s="6" t="inlineStr">
        <is>
          <t>INV-4514</t>
        </is>
      </c>
      <c r="C16" s="6" t="inlineStr">
        <is>
          <t>Customer 15</t>
        </is>
      </c>
      <c r="D16" s="6" t="inlineStr">
        <is>
          <t>Rear Window</t>
        </is>
      </c>
      <c r="E16" s="7" t="n">
        <v>230</v>
      </c>
      <c r="F16" s="6" t="inlineStr">
        <is>
          <t>PGW</t>
        </is>
      </c>
      <c r="G16" s="6" t="n">
        <v>50</v>
      </c>
      <c r="H16" s="7">
        <f>E16*(1+G16/100)</f>
        <v/>
      </c>
      <c r="I16" s="6" t="inlineStr">
        <is>
          <t>Net 15</t>
        </is>
      </c>
      <c r="J16" s="6" t="inlineStr">
        <is>
          <t>09/29/2025</t>
        </is>
      </c>
      <c r="K16" s="6" t="inlineStr">
        <is>
          <t>Paid</t>
        </is>
      </c>
    </row>
    <row r="17">
      <c r="A17" s="6" t="inlineStr">
        <is>
          <t>09/15/2025</t>
        </is>
      </c>
      <c r="B17" s="6" t="inlineStr">
        <is>
          <t>INV-4515</t>
        </is>
      </c>
      <c r="C17" s="6" t="inlineStr">
        <is>
          <t>Customer 16</t>
        </is>
      </c>
      <c r="D17" s="6" t="inlineStr">
        <is>
          <t>Windshield</t>
        </is>
      </c>
      <c r="E17" s="7" t="n">
        <v>150</v>
      </c>
      <c r="F17" s="6" t="inlineStr">
        <is>
          <t>Safelite Supply</t>
        </is>
      </c>
      <c r="G17" s="6" t="n">
        <v>50</v>
      </c>
      <c r="H17" s="7">
        <f>E17*(1+G17/100)</f>
        <v/>
      </c>
      <c r="I17" s="6" t="inlineStr">
        <is>
          <t>Net 30</t>
        </is>
      </c>
      <c r="J17" s="6" t="inlineStr">
        <is>
          <t>10/15/2025</t>
        </is>
      </c>
      <c r="K17" s="6" t="inlineStr">
        <is>
          <t>Paid</t>
        </is>
      </c>
    </row>
    <row r="18">
      <c r="A18" s="6" t="inlineStr">
        <is>
          <t>09/16/2025</t>
        </is>
      </c>
      <c r="B18" s="6" t="inlineStr">
        <is>
          <t>INV-4516</t>
        </is>
      </c>
      <c r="C18" s="6" t="inlineStr">
        <is>
          <t>Customer 17</t>
        </is>
      </c>
      <c r="D18" s="6" t="inlineStr">
        <is>
          <t>Side Window</t>
        </is>
      </c>
      <c r="E18" s="7" t="n">
        <v>170</v>
      </c>
      <c r="F18" s="6" t="inlineStr">
        <is>
          <t>PGW</t>
        </is>
      </c>
      <c r="G18" s="6" t="n">
        <v>50</v>
      </c>
      <c r="H18" s="7">
        <f>E18*(1+G18/100)</f>
        <v/>
      </c>
      <c r="I18" s="6" t="inlineStr">
        <is>
          <t>Net 15</t>
        </is>
      </c>
      <c r="J18" s="6" t="inlineStr">
        <is>
          <t>10/01/2025</t>
        </is>
      </c>
      <c r="K18" s="6" t="inlineStr">
        <is>
          <t>Pending</t>
        </is>
      </c>
    </row>
    <row r="19">
      <c r="A19" s="6" t="inlineStr">
        <is>
          <t>09/17/2025</t>
        </is>
      </c>
      <c r="B19" s="6" t="inlineStr">
        <is>
          <t>INV-4517</t>
        </is>
      </c>
      <c r="C19" s="6" t="inlineStr">
        <is>
          <t>Customer 18</t>
        </is>
      </c>
      <c r="D19" s="6" t="inlineStr">
        <is>
          <t>Rear Window</t>
        </is>
      </c>
      <c r="E19" s="7" t="n">
        <v>190</v>
      </c>
      <c r="F19" s="6" t="inlineStr">
        <is>
          <t>Safelite Supply</t>
        </is>
      </c>
      <c r="G19" s="6" t="n">
        <v>50</v>
      </c>
      <c r="H19" s="7">
        <f>E19*(1+G19/100)</f>
        <v/>
      </c>
      <c r="I19" s="6" t="inlineStr">
        <is>
          <t>Net 15</t>
        </is>
      </c>
      <c r="J19" s="6" t="inlineStr">
        <is>
          <t>10/02/2025</t>
        </is>
      </c>
      <c r="K19" s="6" t="inlineStr">
        <is>
          <t>Pending</t>
        </is>
      </c>
    </row>
    <row r="20">
      <c r="A20" s="6" t="inlineStr">
        <is>
          <t>09/18/2025</t>
        </is>
      </c>
      <c r="B20" s="6" t="inlineStr">
        <is>
          <t>INV-4518</t>
        </is>
      </c>
      <c r="C20" s="6" t="inlineStr">
        <is>
          <t>Customer 19</t>
        </is>
      </c>
      <c r="D20" s="6" t="inlineStr">
        <is>
          <t>Windshield</t>
        </is>
      </c>
      <c r="E20" s="7" t="n">
        <v>210</v>
      </c>
      <c r="F20" s="6" t="inlineStr">
        <is>
          <t>PGW</t>
        </is>
      </c>
      <c r="G20" s="6" t="n">
        <v>50</v>
      </c>
      <c r="H20" s="7">
        <f>E20*(1+G20/100)</f>
        <v/>
      </c>
      <c r="I20" s="6" t="inlineStr">
        <is>
          <t>Net 30</t>
        </is>
      </c>
      <c r="J20" s="6" t="inlineStr">
        <is>
          <t>10/18/2025</t>
        </is>
      </c>
      <c r="K20" s="6" t="inlineStr">
        <is>
          <t>Pending</t>
        </is>
      </c>
    </row>
    <row r="21">
      <c r="A21" s="6" t="inlineStr">
        <is>
          <t>09/19/2025</t>
        </is>
      </c>
      <c r="B21" s="6" t="inlineStr">
        <is>
          <t>INV-4519</t>
        </is>
      </c>
      <c r="C21" s="6" t="inlineStr">
        <is>
          <t>Customer 20</t>
        </is>
      </c>
      <c r="D21" s="6" t="inlineStr">
        <is>
          <t>Side Window</t>
        </is>
      </c>
      <c r="E21" s="7" t="n">
        <v>230</v>
      </c>
      <c r="F21" s="6" t="inlineStr">
        <is>
          <t>Safelite Supply</t>
        </is>
      </c>
      <c r="G21" s="6" t="n">
        <v>50</v>
      </c>
      <c r="H21" s="7">
        <f>E21*(1+G21/100)</f>
        <v/>
      </c>
      <c r="I21" s="6" t="inlineStr">
        <is>
          <t>Net 15</t>
        </is>
      </c>
      <c r="J21" s="6" t="inlineStr">
        <is>
          <t>10/04/2025</t>
        </is>
      </c>
      <c r="K21" s="6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Sales Rep</t>
        </is>
      </c>
      <c r="B1" s="5" t="inlineStr">
        <is>
          <t>Period</t>
        </is>
      </c>
      <c r="C1" s="5" t="inlineStr">
        <is>
          <t>Total Sales</t>
        </is>
      </c>
      <c r="D1" s="5" t="inlineStr">
        <is>
          <t>Commission Rate</t>
        </is>
      </c>
      <c r="E1" s="5" t="inlineStr">
        <is>
          <t>Commission Due</t>
        </is>
      </c>
      <c r="F1" s="5" t="inlineStr">
        <is>
          <t>Bonus</t>
        </is>
      </c>
      <c r="G1" s="5" t="inlineStr">
        <is>
          <t>Total Payout</t>
        </is>
      </c>
      <c r="H1" s="5" t="inlineStr">
        <is>
          <t>Payment Date</t>
        </is>
      </c>
      <c r="I1" s="5" t="inlineStr">
        <is>
          <t>Status</t>
        </is>
      </c>
      <c r="J1" s="5" t="inlineStr">
        <is>
          <t>Notes</t>
        </is>
      </c>
    </row>
    <row r="2">
      <c r="A2" s="6" t="inlineStr">
        <is>
          <t>David Brown</t>
        </is>
      </c>
      <c r="B2" s="6" t="inlineStr">
        <is>
          <t>Week 1</t>
        </is>
      </c>
      <c r="C2" s="7" t="n">
        <v>25000</v>
      </c>
      <c r="D2" s="6" t="inlineStr">
        <is>
          <t>3%</t>
        </is>
      </c>
      <c r="E2" s="7">
        <f>C2*D2/100</f>
        <v/>
      </c>
      <c r="F2" s="7" t="n">
        <v>0</v>
      </c>
      <c r="G2" s="7">
        <f>E2+F2</f>
        <v/>
      </c>
      <c r="H2" s="6" t="n">
        <v>5</v>
      </c>
      <c r="I2" s="6" t="inlineStr">
        <is>
          <t>Pending</t>
        </is>
      </c>
      <c r="J2" s="6" t="inlineStr"/>
    </row>
    <row r="3">
      <c r="A3" s="6" t="inlineStr">
        <is>
          <t>David Brown</t>
        </is>
      </c>
      <c r="B3" s="6" t="inlineStr">
        <is>
          <t>Week 2</t>
        </is>
      </c>
      <c r="C3" s="7" t="n">
        <v>28000</v>
      </c>
      <c r="D3" s="6" t="inlineStr">
        <is>
          <t>3%</t>
        </is>
      </c>
      <c r="E3" s="7">
        <f>C3*D3/100</f>
        <v/>
      </c>
      <c r="F3" s="7" t="n">
        <v>200</v>
      </c>
      <c r="G3" s="7">
        <f>E3+F3</f>
        <v/>
      </c>
      <c r="H3" s="6" t="n">
        <v>12</v>
      </c>
      <c r="I3" s="6" t="inlineStr">
        <is>
          <t>Pending</t>
        </is>
      </c>
      <c r="J3" s="6" t="inlineStr">
        <is>
          <t>Bonus for exceeding target</t>
        </is>
      </c>
    </row>
    <row r="4">
      <c r="A4" s="6" t="inlineStr">
        <is>
          <t>David Brown</t>
        </is>
      </c>
      <c r="B4" s="6" t="inlineStr">
        <is>
          <t>Week 3</t>
        </is>
      </c>
      <c r="C4" s="7" t="n">
        <v>22000</v>
      </c>
      <c r="D4" s="6" t="inlineStr">
        <is>
          <t>3%</t>
        </is>
      </c>
      <c r="E4" s="7">
        <f>C4*D4/100</f>
        <v/>
      </c>
      <c r="F4" s="7" t="n">
        <v>0</v>
      </c>
      <c r="G4" s="7">
        <f>E4+F4</f>
        <v/>
      </c>
      <c r="H4" s="6" t="n">
        <v>19</v>
      </c>
      <c r="I4" s="6" t="inlineStr">
        <is>
          <t>Pending</t>
        </is>
      </c>
      <c r="J4" s="6" t="inlineStr"/>
    </row>
    <row r="5">
      <c r="A5" s="6" t="inlineStr">
        <is>
          <t>David Brown</t>
        </is>
      </c>
      <c r="B5" s="6" t="inlineStr">
        <is>
          <t>Week 4</t>
        </is>
      </c>
      <c r="C5" s="7" t="n">
        <v>30000</v>
      </c>
      <c r="D5" s="6" t="inlineStr">
        <is>
          <t>3.5%</t>
        </is>
      </c>
      <c r="E5" s="7">
        <f>C5*D5/100</f>
        <v/>
      </c>
      <c r="F5" s="7" t="n">
        <v>300</v>
      </c>
      <c r="G5" s="7">
        <f>E5+F5</f>
        <v/>
      </c>
      <c r="H5" s="6" t="n">
        <v>26</v>
      </c>
      <c r="I5" s="6" t="inlineStr">
        <is>
          <t>Pending</t>
        </is>
      </c>
      <c r="J5" s="6" t="inlineStr">
        <is>
          <t>Higher rate for &gt;$25k</t>
        </is>
      </c>
    </row>
    <row r="6">
      <c r="A6" s="6" t="inlineStr">
        <is>
          <t>External Referral</t>
        </is>
      </c>
      <c r="B6" s="6" t="inlineStr">
        <is>
          <t>Month</t>
        </is>
      </c>
      <c r="C6" s="7" t="n">
        <v>15000</v>
      </c>
      <c r="D6" s="6" t="inlineStr">
        <is>
          <t>2%</t>
        </is>
      </c>
      <c r="E6" s="7">
        <f>C6*D6/100</f>
        <v/>
      </c>
      <c r="F6" s="7" t="n">
        <v>0</v>
      </c>
      <c r="G6" s="7">
        <f>E6+F6</f>
        <v/>
      </c>
      <c r="H6" s="6" t="n">
        <v>30</v>
      </c>
      <c r="I6" s="6" t="inlineStr">
        <is>
          <t>Pending</t>
        </is>
      </c>
      <c r="J6" s="6" t="inlineStr">
        <is>
          <t>Partner referral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Tax Type</t>
        </is>
      </c>
      <c r="B1" s="5" t="inlineStr">
        <is>
          <t>Period</t>
        </is>
      </c>
      <c r="C1" s="5" t="inlineStr">
        <is>
          <t>Gross Sales</t>
        </is>
      </c>
      <c r="D1" s="5" t="inlineStr">
        <is>
          <t>Taxable Sales</t>
        </is>
      </c>
      <c r="E1" s="5" t="inlineStr">
        <is>
          <t>Tax Rate</t>
        </is>
      </c>
      <c r="F1" s="5" t="inlineStr">
        <is>
          <t>Tax Due</t>
        </is>
      </c>
      <c r="G1" s="5" t="inlineStr">
        <is>
          <t>Due Date</t>
        </is>
      </c>
      <c r="H1" s="5" t="inlineStr">
        <is>
          <t>Payment Date</t>
        </is>
      </c>
      <c r="I1" s="5" t="inlineStr">
        <is>
          <t>Confirmation #</t>
        </is>
      </c>
      <c r="J1" s="5" t="inlineStr">
        <is>
          <t>Status</t>
        </is>
      </c>
    </row>
    <row r="2">
      <c r="A2" s="6" t="inlineStr">
        <is>
          <t>City TPT</t>
        </is>
      </c>
      <c r="B2" s="6" t="inlineStr">
        <is>
          <t>January 2025</t>
        </is>
      </c>
      <c r="C2" s="7" t="n">
        <v>245000</v>
      </c>
      <c r="D2" s="7" t="n">
        <v>230000</v>
      </c>
      <c r="E2" s="6" t="inlineStr">
        <is>
          <t>2.0%</t>
        </is>
      </c>
      <c r="F2" s="7">
        <f>D2*E2/100</f>
        <v/>
      </c>
      <c r="G2" s="6" t="inlineStr">
        <is>
          <t>2/20/2025</t>
        </is>
      </c>
      <c r="H2" s="6" t="inlineStr"/>
      <c r="I2" s="6" t="inlineStr"/>
      <c r="J2" s="11" t="inlineStr">
        <is>
          <t>Pending</t>
        </is>
      </c>
    </row>
    <row r="3">
      <c r="A3" s="6" t="inlineStr">
        <is>
          <t>State Sales Tax</t>
        </is>
      </c>
      <c r="B3" s="6" t="inlineStr">
        <is>
          <t>January 2025</t>
        </is>
      </c>
      <c r="C3" s="7" t="n">
        <v>245000</v>
      </c>
      <c r="D3" s="7" t="n">
        <v>230000</v>
      </c>
      <c r="E3" s="6" t="inlineStr">
        <is>
          <t>5.6%</t>
        </is>
      </c>
      <c r="F3" s="7">
        <f>D3*E3/100</f>
        <v/>
      </c>
      <c r="G3" s="6" t="inlineStr">
        <is>
          <t>2/20/2025</t>
        </is>
      </c>
      <c r="H3" s="6" t="inlineStr"/>
      <c r="I3" s="6" t="inlineStr"/>
      <c r="J3" s="11" t="inlineStr">
        <is>
          <t>Pending</t>
        </is>
      </c>
    </row>
    <row r="4">
      <c r="A4" s="6" t="inlineStr">
        <is>
          <t>City TPT</t>
        </is>
      </c>
      <c r="B4" s="6" t="inlineStr">
        <is>
          <t>December 2024</t>
        </is>
      </c>
      <c r="C4" s="7" t="n">
        <v>268000</v>
      </c>
      <c r="D4" s="7" t="n">
        <v>250000</v>
      </c>
      <c r="E4" s="6" t="inlineStr">
        <is>
          <t>2.0%</t>
        </is>
      </c>
      <c r="F4" s="7">
        <f>D4*E4/100</f>
        <v/>
      </c>
      <c r="G4" s="6" t="inlineStr">
        <is>
          <t>1/20/2025</t>
        </is>
      </c>
      <c r="H4" s="6" t="inlineStr">
        <is>
          <t>1/18/2025</t>
        </is>
      </c>
      <c r="I4" s="6" t="inlineStr">
        <is>
          <t>AZ123456</t>
        </is>
      </c>
      <c r="J4" s="12" t="inlineStr">
        <is>
          <t>Paid</t>
        </is>
      </c>
    </row>
    <row r="5">
      <c r="A5" s="6" t="inlineStr">
        <is>
          <t>State Sales Tax</t>
        </is>
      </c>
      <c r="B5" s="6" t="inlineStr">
        <is>
          <t>December 2024</t>
        </is>
      </c>
      <c r="C5" s="7" t="n">
        <v>268000</v>
      </c>
      <c r="D5" s="7" t="n">
        <v>250000</v>
      </c>
      <c r="E5" s="6" t="inlineStr">
        <is>
          <t>5.6%</t>
        </is>
      </c>
      <c r="F5" s="7">
        <f>D5*E5/100</f>
        <v/>
      </c>
      <c r="G5" s="6" t="inlineStr">
        <is>
          <t>1/20/2025</t>
        </is>
      </c>
      <c r="H5" s="6" t="inlineStr">
        <is>
          <t>1/18/2025</t>
        </is>
      </c>
      <c r="I5" s="6" t="inlineStr">
        <is>
          <t>AZ789012</t>
        </is>
      </c>
      <c r="J5" s="12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Insurance Company</t>
        </is>
      </c>
      <c r="B1" s="5" t="inlineStr">
        <is>
          <t>Claim #</t>
        </is>
      </c>
      <c r="C1" s="5" t="inlineStr">
        <is>
          <t>Customer</t>
        </is>
      </c>
      <c r="D1" s="5" t="inlineStr">
        <is>
          <t>Invoice Date</t>
        </is>
      </c>
      <c r="E1" s="5" t="inlineStr">
        <is>
          <t>Invoice Amount</t>
        </is>
      </c>
      <c r="F1" s="5" t="inlineStr">
        <is>
          <t>Rebate %</t>
        </is>
      </c>
      <c r="G1" s="5" t="inlineStr">
        <is>
          <t>Rebate Amount</t>
        </is>
      </c>
      <c r="H1" s="5" t="inlineStr">
        <is>
          <t>Submission Date</t>
        </is>
      </c>
      <c r="I1" s="5" t="inlineStr">
        <is>
          <t>Expected Date</t>
        </is>
      </c>
      <c r="J1" s="5" t="inlineStr">
        <is>
          <t>Status</t>
        </is>
      </c>
      <c r="K1" s="5" t="inlineStr">
        <is>
          <t>Notes</t>
        </is>
      </c>
    </row>
    <row r="2">
      <c r="A2" s="6" t="inlineStr">
        <is>
          <t>State Farm</t>
        </is>
      </c>
      <c r="B2" s="6" t="inlineStr">
        <is>
          <t>SF123456</t>
        </is>
      </c>
      <c r="C2" s="6" t="inlineStr">
        <is>
          <t>John Doe</t>
        </is>
      </c>
      <c r="D2" s="6" t="inlineStr">
        <is>
          <t>1/15/2025</t>
        </is>
      </c>
      <c r="E2" s="7" t="n">
        <v>850</v>
      </c>
      <c r="F2" s="6" t="inlineStr">
        <is>
          <t>15%</t>
        </is>
      </c>
      <c r="G2" s="7">
        <f>E2*F2/100</f>
        <v/>
      </c>
      <c r="H2" s="6" t="inlineStr">
        <is>
          <t>1/16/2025</t>
        </is>
      </c>
      <c r="I2" s="6" t="inlineStr">
        <is>
          <t>2/15/2025</t>
        </is>
      </c>
      <c r="J2" s="6" t="inlineStr">
        <is>
          <t>Pending</t>
        </is>
      </c>
      <c r="K2" s="6" t="inlineStr"/>
    </row>
    <row r="3">
      <c r="A3" s="6" t="inlineStr">
        <is>
          <t>Progressive</t>
        </is>
      </c>
      <c r="B3" s="6" t="inlineStr">
        <is>
          <t>PG789012</t>
        </is>
      </c>
      <c r="C3" s="6" t="inlineStr">
        <is>
          <t>Jane Smith</t>
        </is>
      </c>
      <c r="D3" s="6" t="inlineStr">
        <is>
          <t>1/10/2025</t>
        </is>
      </c>
      <c r="E3" s="7" t="n">
        <v>650</v>
      </c>
      <c r="F3" s="6" t="inlineStr">
        <is>
          <t>12%</t>
        </is>
      </c>
      <c r="G3" s="7">
        <f>E3*F3/100</f>
        <v/>
      </c>
      <c r="H3" s="6" t="inlineStr">
        <is>
          <t>1/11/2025</t>
        </is>
      </c>
      <c r="I3" s="6" t="inlineStr">
        <is>
          <t>2/10/2025</t>
        </is>
      </c>
      <c r="J3" s="6" t="inlineStr">
        <is>
          <t>Pending</t>
        </is>
      </c>
      <c r="K3" s="6" t="inlineStr"/>
    </row>
    <row r="4">
      <c r="A4" s="6" t="inlineStr">
        <is>
          <t>Geico</t>
        </is>
      </c>
      <c r="B4" s="6" t="inlineStr">
        <is>
          <t>GK345678</t>
        </is>
      </c>
      <c r="C4" s="6" t="inlineStr">
        <is>
          <t>Bob Johnson</t>
        </is>
      </c>
      <c r="D4" s="6" t="inlineStr">
        <is>
          <t>1/05/2025</t>
        </is>
      </c>
      <c r="E4" s="7" t="n">
        <v>750</v>
      </c>
      <c r="F4" s="6" t="inlineStr">
        <is>
          <t>10%</t>
        </is>
      </c>
      <c r="G4" s="7">
        <f>E4*F4/100</f>
        <v/>
      </c>
      <c r="H4" s="6" t="inlineStr">
        <is>
          <t>1/06/2025</t>
        </is>
      </c>
      <c r="I4" s="6" t="inlineStr">
        <is>
          <t>2/05/2025</t>
        </is>
      </c>
      <c r="J4" s="6" t="inlineStr">
        <is>
          <t>Approved</t>
        </is>
      </c>
      <c r="K4" s="6" t="inlineStr">
        <is>
          <t>Payment in process</t>
        </is>
      </c>
    </row>
    <row r="5">
      <c r="A5" s="6" t="inlineStr">
        <is>
          <t>USAA</t>
        </is>
      </c>
      <c r="B5" s="6" t="inlineStr">
        <is>
          <t>US901234</t>
        </is>
      </c>
      <c r="C5" s="6" t="inlineStr">
        <is>
          <t>Alice Brown</t>
        </is>
      </c>
      <c r="D5" s="6" t="inlineStr">
        <is>
          <t>12/20/2024</t>
        </is>
      </c>
      <c r="E5" s="7" t="n">
        <v>900</v>
      </c>
      <c r="F5" s="6" t="inlineStr">
        <is>
          <t>18%</t>
        </is>
      </c>
      <c r="G5" s="7">
        <f>E5*F5/100</f>
        <v/>
      </c>
      <c r="H5" s="6" t="inlineStr">
        <is>
          <t>12/21/2024</t>
        </is>
      </c>
      <c r="I5" s="6" t="inlineStr">
        <is>
          <t>1/20/2025</t>
        </is>
      </c>
      <c r="J5" s="6" t="inlineStr">
        <is>
          <t>Received</t>
        </is>
      </c>
      <c r="K5" s="6" t="inlineStr">
        <is>
          <t>Check #4567</t>
        </is>
      </c>
    </row>
    <row r="6">
      <c r="A6" s="6" t="inlineStr">
        <is>
          <t>Allstate</t>
        </is>
      </c>
      <c r="B6" s="6" t="inlineStr">
        <is>
          <t>AS567890</t>
        </is>
      </c>
      <c r="C6" s="6" t="inlineStr">
        <is>
          <t>Charlie Wilson</t>
        </is>
      </c>
      <c r="D6" s="6" t="inlineStr">
        <is>
          <t>12/15/2024</t>
        </is>
      </c>
      <c r="E6" s="7" t="n">
        <v>700</v>
      </c>
      <c r="F6" s="6" t="inlineStr">
        <is>
          <t>15%</t>
        </is>
      </c>
      <c r="G6" s="7">
        <f>E6*F6/100</f>
        <v/>
      </c>
      <c r="H6" s="6" t="inlineStr">
        <is>
          <t>12/16/2024</t>
        </is>
      </c>
      <c r="I6" s="6" t="inlineStr">
        <is>
          <t>1/15/2025</t>
        </is>
      </c>
      <c r="J6" s="6" t="inlineStr">
        <is>
          <t>Received</t>
        </is>
      </c>
      <c r="K6" s="6" t="inlineStr">
        <is>
          <t>Check #4568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Starting Balance</t>
        </is>
      </c>
      <c r="C1" s="5" t="inlineStr">
        <is>
          <t>Income</t>
        </is>
      </c>
      <c r="D1" s="5" t="inlineStr">
        <is>
          <t>Overhead</t>
        </is>
      </c>
      <c r="E1" s="5" t="inlineStr">
        <is>
          <t>Payroll</t>
        </is>
      </c>
      <c r="F1" s="5" t="inlineStr">
        <is>
          <t>COGS</t>
        </is>
      </c>
      <c r="G1" s="5" t="inlineStr">
        <is>
          <t>Commissions</t>
        </is>
      </c>
      <c r="H1" s="5" t="inlineStr">
        <is>
          <t>Taxes</t>
        </is>
      </c>
      <c r="I1" s="5" t="inlineStr">
        <is>
          <t>Rebates</t>
        </is>
      </c>
      <c r="J1" s="5" t="inlineStr">
        <is>
          <t>Other</t>
        </is>
      </c>
      <c r="K1" s="5" t="inlineStr">
        <is>
          <t>Total Out</t>
        </is>
      </c>
      <c r="L1" s="5" t="inlineStr">
        <is>
          <t>Ending Balance</t>
        </is>
      </c>
      <c r="M1" s="5" t="inlineStr">
        <is>
          <t>Notes</t>
        </is>
      </c>
    </row>
    <row r="2">
      <c r="A2" s="6" t="inlineStr">
        <is>
          <t>01/01/2025</t>
        </is>
      </c>
      <c r="B2" s="7" t="n">
        <v>45320</v>
      </c>
      <c r="C2" s="7" t="n">
        <v>8388</v>
      </c>
      <c r="D2" s="7" t="n">
        <v>3858.47</v>
      </c>
      <c r="E2" s="7" t="n">
        <v>0</v>
      </c>
      <c r="F2" s="7" t="n">
        <v>2715</v>
      </c>
      <c r="G2" s="7" t="n">
        <v>0</v>
      </c>
      <c r="H2" s="7" t="n">
        <v>0</v>
      </c>
      <c r="I2" s="7" t="n">
        <v>0</v>
      </c>
      <c r="J2" s="7" t="n">
        <v>853</v>
      </c>
      <c r="K2" s="7">
        <f>SUM(D2:J2)</f>
        <v/>
      </c>
      <c r="L2" s="7">
        <f>B2+C2-K2</f>
        <v/>
      </c>
      <c r="M2" s="6" t="inlineStr"/>
    </row>
    <row r="3">
      <c r="A3" s="6" t="inlineStr">
        <is>
          <t>01/02/2025</t>
        </is>
      </c>
      <c r="B3" s="7" t="n">
        <v>46281.53</v>
      </c>
      <c r="C3" s="7" t="n">
        <v>6079</v>
      </c>
      <c r="D3" s="7" t="n">
        <v>0</v>
      </c>
      <c r="E3" s="7" t="n">
        <v>0</v>
      </c>
      <c r="F3" s="7" t="n">
        <v>3332</v>
      </c>
      <c r="G3" s="7" t="n">
        <v>0</v>
      </c>
      <c r="H3" s="7" t="n">
        <v>0</v>
      </c>
      <c r="I3" s="7" t="n">
        <v>0</v>
      </c>
      <c r="J3" s="7" t="n">
        <v>333</v>
      </c>
      <c r="K3" s="7">
        <f>SUM(D3:J3)</f>
        <v/>
      </c>
      <c r="L3" s="7">
        <f>B3+C3-K3</f>
        <v/>
      </c>
      <c r="M3" s="6" t="inlineStr"/>
    </row>
    <row r="4">
      <c r="A4" s="6" t="inlineStr">
        <is>
          <t>01/03/2025</t>
        </is>
      </c>
      <c r="B4" s="7" t="n">
        <v>48695.53</v>
      </c>
      <c r="C4" s="7" t="n">
        <v>7457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282</v>
      </c>
      <c r="K4" s="7">
        <f>SUM(D4:J4)</f>
        <v/>
      </c>
      <c r="L4" s="7">
        <f>B4+C4-K4</f>
        <v/>
      </c>
      <c r="M4" s="6" t="inlineStr"/>
    </row>
    <row r="5">
      <c r="A5" s="6" t="inlineStr">
        <is>
          <t>01/04/2025</t>
        </is>
      </c>
      <c r="B5" s="7" t="n">
        <v>55870.53</v>
      </c>
      <c r="C5" s="7" t="n">
        <v>9876</v>
      </c>
      <c r="D5" s="7" t="n">
        <v>0</v>
      </c>
      <c r="E5" s="7" t="n">
        <v>0</v>
      </c>
      <c r="F5" s="7" t="n">
        <v>2974</v>
      </c>
      <c r="G5" s="7" t="n">
        <v>0</v>
      </c>
      <c r="H5" s="7" t="n">
        <v>0</v>
      </c>
      <c r="I5" s="7" t="n">
        <v>0</v>
      </c>
      <c r="J5" s="7" t="n">
        <v>583</v>
      </c>
      <c r="K5" s="7">
        <f>SUM(D5:J5)</f>
        <v/>
      </c>
      <c r="L5" s="7">
        <f>B5+C5-K5</f>
        <v/>
      </c>
      <c r="M5" s="6" t="inlineStr"/>
    </row>
    <row r="6">
      <c r="A6" s="6" t="inlineStr">
        <is>
          <t>01/05/2025</t>
        </is>
      </c>
      <c r="B6" s="7" t="n">
        <v>62189.53</v>
      </c>
      <c r="C6" s="7" t="n">
        <v>12460</v>
      </c>
      <c r="D6" s="7" t="n">
        <v>0</v>
      </c>
      <c r="E6" s="7" t="n">
        <v>25000</v>
      </c>
      <c r="F6" s="7" t="n">
        <v>3326</v>
      </c>
      <c r="G6" s="7" t="n">
        <v>3000</v>
      </c>
      <c r="H6" s="7" t="n">
        <v>0</v>
      </c>
      <c r="I6" s="7" t="n">
        <v>-749</v>
      </c>
      <c r="J6" s="7" t="n">
        <v>805</v>
      </c>
      <c r="K6" s="7">
        <f>SUM(D6:J6)</f>
        <v/>
      </c>
      <c r="L6" s="7">
        <f>B6+C6-K6</f>
        <v/>
      </c>
      <c r="M6" s="6" t="inlineStr"/>
    </row>
    <row r="7">
      <c r="A7" s="6" t="inlineStr">
        <is>
          <t>01/06/2025</t>
        </is>
      </c>
      <c r="B7" s="7" t="n">
        <v>43267.53</v>
      </c>
      <c r="C7" s="7" t="n">
        <v>11999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174</v>
      </c>
      <c r="K7" s="7">
        <f>SUM(D7:J7)</f>
        <v/>
      </c>
      <c r="L7" s="7">
        <f>B7+C7-K7</f>
        <v/>
      </c>
      <c r="M7" s="6" t="inlineStr"/>
    </row>
    <row r="8">
      <c r="A8" s="6" t="inlineStr">
        <is>
          <t>01/07/2025</t>
        </is>
      </c>
      <c r="B8" s="7" t="n">
        <v>55092.53</v>
      </c>
      <c r="C8" s="7" t="n">
        <v>0</v>
      </c>
      <c r="D8" s="7" t="n">
        <v>0</v>
      </c>
      <c r="E8" s="7" t="n">
        <v>0</v>
      </c>
      <c r="F8" s="7" t="n">
        <v>3114</v>
      </c>
      <c r="G8" s="7" t="n">
        <v>0</v>
      </c>
      <c r="H8" s="7" t="n">
        <v>0</v>
      </c>
      <c r="I8" s="7" t="n">
        <v>0</v>
      </c>
      <c r="J8" s="7" t="n">
        <v>235</v>
      </c>
      <c r="K8" s="7">
        <f>SUM(D8:J8)</f>
        <v/>
      </c>
      <c r="L8" s="7">
        <f>B8+C8-K8</f>
        <v/>
      </c>
      <c r="M8" s="6" t="inlineStr"/>
    </row>
    <row r="9">
      <c r="A9" s="6" t="inlineStr">
        <is>
          <t>01/08/2025</t>
        </is>
      </c>
      <c r="B9" s="7" t="n">
        <v>51743.53</v>
      </c>
      <c r="C9" s="7" t="n">
        <v>14010</v>
      </c>
      <c r="D9" s="7" t="n">
        <v>384.78</v>
      </c>
      <c r="E9" s="7" t="n">
        <v>0</v>
      </c>
      <c r="F9" s="7" t="n">
        <v>4194</v>
      </c>
      <c r="G9" s="7" t="n">
        <v>0</v>
      </c>
      <c r="H9" s="7" t="n">
        <v>0</v>
      </c>
      <c r="I9" s="7" t="n">
        <v>0</v>
      </c>
      <c r="J9" s="7" t="n">
        <v>14</v>
      </c>
      <c r="K9" s="7">
        <f>SUM(D9:J9)</f>
        <v/>
      </c>
      <c r="L9" s="7">
        <f>B9+C9-K9</f>
        <v/>
      </c>
      <c r="M9" s="6" t="inlineStr"/>
    </row>
    <row r="10">
      <c r="A10" s="6" t="inlineStr">
        <is>
          <t>01/09/2025</t>
        </is>
      </c>
      <c r="B10" s="7" t="n">
        <v>61160.75</v>
      </c>
      <c r="C10" s="7" t="n">
        <v>9250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713</v>
      </c>
      <c r="K10" s="7">
        <f>SUM(D10:J10)</f>
        <v/>
      </c>
      <c r="L10" s="7">
        <f>B10+C10-K10</f>
        <v/>
      </c>
      <c r="M10" s="6" t="inlineStr"/>
    </row>
    <row r="11">
      <c r="A11" s="6" t="inlineStr">
        <is>
          <t>01/10/2025</t>
        </is>
      </c>
      <c r="B11" s="7" t="n">
        <v>69697.75</v>
      </c>
      <c r="C11" s="7" t="n">
        <v>7603</v>
      </c>
      <c r="D11" s="7" t="n">
        <v>3045.48</v>
      </c>
      <c r="E11" s="7" t="n">
        <v>0</v>
      </c>
      <c r="F11" s="7" t="n">
        <v>2889</v>
      </c>
      <c r="G11" s="7" t="n">
        <v>0</v>
      </c>
      <c r="H11" s="7" t="n">
        <v>0</v>
      </c>
      <c r="I11" s="7" t="n">
        <v>-585</v>
      </c>
      <c r="J11" s="7" t="n">
        <v>790</v>
      </c>
      <c r="K11" s="7">
        <f>SUM(D11:J11)</f>
        <v/>
      </c>
      <c r="L11" s="7">
        <f>B11+C11-K11</f>
        <v/>
      </c>
      <c r="M11" s="6" t="inlineStr"/>
    </row>
    <row r="12">
      <c r="A12" s="6" t="inlineStr">
        <is>
          <t>01/11/2025</t>
        </is>
      </c>
      <c r="B12" s="7" t="n">
        <v>71161.27</v>
      </c>
      <c r="C12" s="7" t="n">
        <v>8869</v>
      </c>
      <c r="D12" s="7" t="n">
        <v>0</v>
      </c>
      <c r="E12" s="7" t="n">
        <v>0</v>
      </c>
      <c r="F12" s="7" t="n">
        <v>3209</v>
      </c>
      <c r="G12" s="7" t="n">
        <v>0</v>
      </c>
      <c r="H12" s="7" t="n">
        <v>0</v>
      </c>
      <c r="I12" s="7" t="n">
        <v>0</v>
      </c>
      <c r="J12" s="7" t="n">
        <v>549</v>
      </c>
      <c r="K12" s="7">
        <f>SUM(D12:J12)</f>
        <v/>
      </c>
      <c r="L12" s="7">
        <f>B12+C12-K12</f>
        <v/>
      </c>
      <c r="M12" s="6" t="inlineStr"/>
    </row>
    <row r="13">
      <c r="A13" s="6" t="inlineStr">
        <is>
          <t>01/12/2025</t>
        </is>
      </c>
      <c r="B13" s="7" t="n">
        <v>76272.27</v>
      </c>
      <c r="C13" s="7" t="n">
        <v>11004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794</v>
      </c>
      <c r="K13" s="7">
        <f>SUM(D13:J13)</f>
        <v/>
      </c>
      <c r="L13" s="7">
        <f>B13+C13-K13</f>
        <v/>
      </c>
      <c r="M13" s="6" t="inlineStr"/>
    </row>
    <row r="14">
      <c r="A14" s="6" t="inlineStr">
        <is>
          <t>01/13/2025</t>
        </is>
      </c>
      <c r="B14" s="7" t="n">
        <v>86482.27</v>
      </c>
      <c r="C14" s="7" t="n">
        <v>12969</v>
      </c>
      <c r="D14" s="7" t="n">
        <v>0</v>
      </c>
      <c r="E14" s="7" t="n">
        <v>0</v>
      </c>
      <c r="F14" s="7" t="n">
        <v>3596</v>
      </c>
      <c r="G14" s="7" t="n">
        <v>0</v>
      </c>
      <c r="H14" s="7" t="n">
        <v>0</v>
      </c>
      <c r="I14" s="7" t="n">
        <v>0</v>
      </c>
      <c r="J14" s="7" t="n">
        <v>933</v>
      </c>
      <c r="K14" s="7">
        <f>SUM(D14:J14)</f>
        <v/>
      </c>
      <c r="L14" s="7">
        <f>B14+C14-K14</f>
        <v/>
      </c>
      <c r="M14" s="6" t="inlineStr"/>
    </row>
    <row r="15">
      <c r="A15" s="6" t="inlineStr">
        <is>
          <t>01/14/2025</t>
        </is>
      </c>
      <c r="B15" s="7" t="n">
        <v>94922.27</v>
      </c>
      <c r="C15" s="7" t="n">
        <v>0</v>
      </c>
      <c r="D15" s="7" t="n">
        <v>0</v>
      </c>
      <c r="E15" s="7" t="n">
        <v>0</v>
      </c>
      <c r="F15" s="7" t="n">
        <v>4527</v>
      </c>
      <c r="G15" s="7" t="n">
        <v>0</v>
      </c>
      <c r="H15" s="7" t="n">
        <v>0</v>
      </c>
      <c r="I15" s="7" t="n">
        <v>0</v>
      </c>
      <c r="J15" s="7" t="n">
        <v>247</v>
      </c>
      <c r="K15" s="7">
        <f>SUM(D15:J15)</f>
        <v/>
      </c>
      <c r="L15" s="7">
        <f>B15+C15-K15</f>
        <v/>
      </c>
      <c r="M15" s="6" t="inlineStr"/>
    </row>
    <row r="16">
      <c r="A16" s="6" t="inlineStr">
        <is>
          <t>01/15/2025</t>
        </is>
      </c>
      <c r="B16" s="7" t="n">
        <v>90148.27</v>
      </c>
      <c r="C16" s="7" t="n">
        <v>10137</v>
      </c>
      <c r="D16" s="7" t="n">
        <v>10722.56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-645</v>
      </c>
      <c r="J16" s="7" t="n">
        <v>341</v>
      </c>
      <c r="K16" s="7">
        <f>SUM(D16:J16)</f>
        <v/>
      </c>
      <c r="L16" s="7">
        <f>B16+C16-K16</f>
        <v/>
      </c>
      <c r="M16" s="6" t="inlineStr"/>
    </row>
    <row r="17">
      <c r="A17" s="6" t="inlineStr">
        <is>
          <t>01/16/2025</t>
        </is>
      </c>
      <c r="B17" s="7" t="n">
        <v>89866.71000000001</v>
      </c>
      <c r="C17" s="7" t="n">
        <v>5503</v>
      </c>
      <c r="D17" s="7" t="n">
        <v>0</v>
      </c>
      <c r="E17" s="7" t="n">
        <v>0</v>
      </c>
      <c r="F17" s="7" t="n">
        <v>3586</v>
      </c>
      <c r="G17" s="7" t="n">
        <v>0</v>
      </c>
      <c r="H17" s="7" t="n">
        <v>0</v>
      </c>
      <c r="I17" s="7" t="n">
        <v>0</v>
      </c>
      <c r="J17" s="7" t="n">
        <v>740</v>
      </c>
      <c r="K17" s="7">
        <f>SUM(D17:J17)</f>
        <v/>
      </c>
      <c r="L17" s="7">
        <f>B17+C17-K17</f>
        <v/>
      </c>
      <c r="M17" s="6" t="inlineStr"/>
    </row>
    <row r="18">
      <c r="A18" s="6" t="inlineStr">
        <is>
          <t>01/17/2025</t>
        </is>
      </c>
      <c r="B18" s="7" t="n">
        <v>91043.71000000001</v>
      </c>
      <c r="C18" s="7" t="n">
        <v>11811</v>
      </c>
      <c r="D18" s="7" t="n">
        <v>0</v>
      </c>
      <c r="E18" s="7" t="n">
        <v>0</v>
      </c>
      <c r="F18" s="7" t="n">
        <v>3214</v>
      </c>
      <c r="G18" s="7" t="n">
        <v>0</v>
      </c>
      <c r="H18" s="7" t="n">
        <v>0</v>
      </c>
      <c r="I18" s="7" t="n">
        <v>0</v>
      </c>
      <c r="J18" s="7" t="n">
        <v>933</v>
      </c>
      <c r="K18" s="7">
        <f>SUM(D18:J18)</f>
        <v/>
      </c>
      <c r="L18" s="7">
        <f>B18+C18-K18</f>
        <v/>
      </c>
      <c r="M18" s="6" t="inlineStr"/>
    </row>
    <row r="19">
      <c r="A19" s="6" t="inlineStr">
        <is>
          <t>01/18/2025</t>
        </is>
      </c>
      <c r="B19" s="7" t="n">
        <v>98707.71000000001</v>
      </c>
      <c r="C19" s="7" t="n">
        <v>12068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381</v>
      </c>
      <c r="K19" s="7">
        <f>SUM(D19:J19)</f>
        <v/>
      </c>
      <c r="L19" s="7">
        <f>B19+C19-K19</f>
        <v/>
      </c>
      <c r="M19" s="6" t="inlineStr"/>
    </row>
    <row r="20">
      <c r="A20" s="6" t="inlineStr">
        <is>
          <t>01/19/2025</t>
        </is>
      </c>
      <c r="B20" s="7" t="n">
        <v>110394.71</v>
      </c>
      <c r="C20" s="7" t="n">
        <v>10214</v>
      </c>
      <c r="D20" s="7" t="n">
        <v>820</v>
      </c>
      <c r="E20" s="7" t="n">
        <v>0</v>
      </c>
      <c r="F20" s="7" t="n">
        <v>3606</v>
      </c>
      <c r="G20" s="7" t="n">
        <v>0</v>
      </c>
      <c r="H20" s="7" t="n">
        <v>0</v>
      </c>
      <c r="I20" s="7" t="n">
        <v>0</v>
      </c>
      <c r="J20" s="7" t="n">
        <v>76</v>
      </c>
      <c r="K20" s="7">
        <f>SUM(D20:J20)</f>
        <v/>
      </c>
      <c r="L20" s="7">
        <f>B20+C20-K20</f>
        <v/>
      </c>
      <c r="M20" s="6" t="inlineStr"/>
    </row>
    <row r="21">
      <c r="A21" s="6" t="inlineStr">
        <is>
          <t>01/20/2025</t>
        </is>
      </c>
      <c r="B21" s="7" t="n">
        <v>116106.71</v>
      </c>
      <c r="C21" s="7" t="n">
        <v>14802</v>
      </c>
      <c r="D21" s="7" t="n">
        <v>3795.08</v>
      </c>
      <c r="E21" s="7" t="n">
        <v>25000</v>
      </c>
      <c r="F21" s="7" t="n">
        <v>3514</v>
      </c>
      <c r="G21" s="7" t="n">
        <v>0</v>
      </c>
      <c r="H21" s="7" t="n">
        <v>15000</v>
      </c>
      <c r="I21" s="7" t="n">
        <v>-1015</v>
      </c>
      <c r="J21" s="7" t="n">
        <v>706</v>
      </c>
      <c r="K21" s="7">
        <f>SUM(D21:J21)</f>
        <v/>
      </c>
      <c r="L21" s="7">
        <f>B21+C21-K21</f>
        <v/>
      </c>
      <c r="M21" s="6" t="inlineStr"/>
    </row>
    <row r="22">
      <c r="A22" s="6" t="inlineStr">
        <is>
          <t>01/21/2025</t>
        </is>
      </c>
      <c r="B22" s="7" t="n">
        <v>83908.63</v>
      </c>
      <c r="C22" s="7" t="n">
        <v>0</v>
      </c>
      <c r="D22" s="7" t="n">
        <v>500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686</v>
      </c>
      <c r="K22" s="7">
        <f>SUM(D22:J22)</f>
        <v/>
      </c>
      <c r="L22" s="7">
        <f>B22+C22-K22</f>
        <v/>
      </c>
      <c r="M22" s="6" t="inlineStr"/>
    </row>
    <row r="23">
      <c r="A23" s="6" t="inlineStr">
        <is>
          <t>01/22/2025</t>
        </is>
      </c>
      <c r="B23" s="7" t="n">
        <v>82722.63</v>
      </c>
      <c r="C23" s="7" t="n">
        <v>8505</v>
      </c>
      <c r="D23" s="7" t="n">
        <v>322</v>
      </c>
      <c r="E23" s="7" t="n">
        <v>0</v>
      </c>
      <c r="F23" s="7" t="n">
        <v>3558</v>
      </c>
      <c r="G23" s="7" t="n">
        <v>0</v>
      </c>
      <c r="H23" s="7" t="n">
        <v>0</v>
      </c>
      <c r="I23" s="7" t="n">
        <v>0</v>
      </c>
      <c r="J23" s="7" t="n">
        <v>606</v>
      </c>
      <c r="K23" s="7">
        <f>SUM(D23:J23)</f>
        <v/>
      </c>
      <c r="L23" s="7">
        <f>B23+C23-K23</f>
        <v/>
      </c>
      <c r="M23" s="6" t="inlineStr"/>
    </row>
    <row r="24">
      <c r="A24" s="6" t="inlineStr">
        <is>
          <t>01/23/2025</t>
        </is>
      </c>
      <c r="B24" s="7" t="n">
        <v>86741.63</v>
      </c>
      <c r="C24" s="7" t="n">
        <v>11646</v>
      </c>
      <c r="D24" s="7" t="n">
        <v>0</v>
      </c>
      <c r="E24" s="7" t="n">
        <v>0</v>
      </c>
      <c r="F24" s="7" t="n">
        <v>4740</v>
      </c>
      <c r="G24" s="7" t="n">
        <v>0</v>
      </c>
      <c r="H24" s="7" t="n">
        <v>0</v>
      </c>
      <c r="I24" s="7" t="n">
        <v>0</v>
      </c>
      <c r="J24" s="7" t="n">
        <v>453</v>
      </c>
      <c r="K24" s="7">
        <f>SUM(D24:J24)</f>
        <v/>
      </c>
      <c r="L24" s="7">
        <f>B24+C24-K24</f>
        <v/>
      </c>
      <c r="M24" s="6" t="inlineStr"/>
    </row>
    <row r="25">
      <c r="A25" s="6" t="inlineStr">
        <is>
          <t>01/24/2025</t>
        </is>
      </c>
      <c r="B25" s="7" t="n">
        <v>93194.63</v>
      </c>
      <c r="C25" s="7" t="n">
        <v>12118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946</v>
      </c>
      <c r="K25" s="7">
        <f>SUM(D25:J25)</f>
        <v/>
      </c>
      <c r="L25" s="7">
        <f>B25+C25-K25</f>
        <v/>
      </c>
      <c r="M25" s="6" t="inlineStr"/>
    </row>
    <row r="26">
      <c r="A26" s="6" t="inlineStr">
        <is>
          <t>01/25/2025</t>
        </is>
      </c>
      <c r="B26" s="7" t="n">
        <v>104366.63</v>
      </c>
      <c r="C26" s="7" t="n">
        <v>9083</v>
      </c>
      <c r="D26" s="7" t="n">
        <v>5303.25</v>
      </c>
      <c r="E26" s="7" t="n">
        <v>0</v>
      </c>
      <c r="F26" s="7" t="n">
        <v>2929</v>
      </c>
      <c r="G26" s="7" t="n">
        <v>0</v>
      </c>
      <c r="H26" s="7" t="n">
        <v>0</v>
      </c>
      <c r="I26" s="7" t="n">
        <v>-707</v>
      </c>
      <c r="J26" s="7" t="n">
        <v>689</v>
      </c>
      <c r="K26" s="7">
        <f>SUM(D26:J26)</f>
        <v/>
      </c>
      <c r="L26" s="7">
        <f>B26+C26-K26</f>
        <v/>
      </c>
      <c r="M26" s="6" t="inlineStr"/>
    </row>
    <row r="27">
      <c r="A27" s="6" t="inlineStr">
        <is>
          <t>01/26/2025</t>
        </is>
      </c>
      <c r="B27" s="7" t="n">
        <v>105235.38</v>
      </c>
      <c r="C27" s="7" t="n">
        <v>7561</v>
      </c>
      <c r="D27" s="7" t="n">
        <v>715.52</v>
      </c>
      <c r="E27" s="7" t="n">
        <v>0</v>
      </c>
      <c r="F27" s="7" t="n">
        <v>2191</v>
      </c>
      <c r="G27" s="7" t="n">
        <v>0</v>
      </c>
      <c r="H27" s="7" t="n">
        <v>0</v>
      </c>
      <c r="I27" s="7" t="n">
        <v>0</v>
      </c>
      <c r="J27" s="7" t="n">
        <v>985</v>
      </c>
      <c r="K27" s="7">
        <f>SUM(D27:J27)</f>
        <v/>
      </c>
      <c r="L27" s="7">
        <f>B27+C27-K27</f>
        <v/>
      </c>
      <c r="M27" s="6" t="inlineStr"/>
    </row>
    <row r="28">
      <c r="A28" s="6" t="inlineStr">
        <is>
          <t>01/27/2025</t>
        </is>
      </c>
      <c r="B28" s="7" t="n">
        <v>108904.86</v>
      </c>
      <c r="C28" s="7" t="n">
        <v>9832</v>
      </c>
      <c r="D28" s="7" t="n">
        <v>1100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671</v>
      </c>
      <c r="K28" s="7">
        <f>SUM(D28:J28)</f>
        <v/>
      </c>
      <c r="L28" s="7">
        <f>B28+C28-K28</f>
        <v/>
      </c>
      <c r="M28" s="6" t="inlineStr"/>
    </row>
    <row r="29">
      <c r="A29" s="6" t="inlineStr">
        <is>
          <t>01/28/2025</t>
        </is>
      </c>
      <c r="B29" s="7" t="n">
        <v>116965.86</v>
      </c>
      <c r="C29" s="7" t="n">
        <v>0</v>
      </c>
      <c r="D29" s="7" t="n">
        <v>0</v>
      </c>
      <c r="E29" s="7" t="n">
        <v>0</v>
      </c>
      <c r="F29" s="7" t="n">
        <v>3842</v>
      </c>
      <c r="G29" s="7" t="n">
        <v>0</v>
      </c>
      <c r="H29" s="7" t="n">
        <v>0</v>
      </c>
      <c r="I29" s="7" t="n">
        <v>0</v>
      </c>
      <c r="J29" s="7" t="n">
        <v>791</v>
      </c>
      <c r="K29" s="7">
        <f>SUM(D29:J29)</f>
        <v/>
      </c>
      <c r="L29" s="7">
        <f>B29+C29-K29</f>
        <v/>
      </c>
      <c r="M29" s="6" t="inlineStr"/>
    </row>
    <row r="30">
      <c r="A30" s="6" t="inlineStr">
        <is>
          <t>01/29/2025</t>
        </is>
      </c>
      <c r="B30" s="7" t="n">
        <v>112332.86</v>
      </c>
      <c r="C30" s="7" t="n">
        <v>13711</v>
      </c>
      <c r="D30" s="7" t="n">
        <v>0</v>
      </c>
      <c r="E30" s="7" t="n">
        <v>0</v>
      </c>
      <c r="F30" s="7" t="n">
        <v>2084</v>
      </c>
      <c r="G30" s="7" t="n">
        <v>0</v>
      </c>
      <c r="H30" s="7" t="n">
        <v>0</v>
      </c>
      <c r="I30" s="7" t="n">
        <v>0</v>
      </c>
      <c r="J30" s="7" t="n">
        <v>659</v>
      </c>
      <c r="K30" s="7">
        <f>SUM(D30:J30)</f>
        <v/>
      </c>
      <c r="L30" s="7">
        <f>B30+C30-K30</f>
        <v/>
      </c>
      <c r="M30" s="6" t="inlineStr"/>
    </row>
    <row r="31">
      <c r="A31" s="6" t="inlineStr">
        <is>
          <t>01/30/2025</t>
        </is>
      </c>
      <c r="B31" s="7" t="n">
        <v>123300.86</v>
      </c>
      <c r="C31" s="7" t="n">
        <v>10266</v>
      </c>
      <c r="D31" s="7" t="n">
        <v>2000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-1757</v>
      </c>
      <c r="J31" s="7" t="n">
        <v>556</v>
      </c>
      <c r="K31" s="7">
        <f>SUM(D31:J31)</f>
        <v/>
      </c>
      <c r="L31" s="7">
        <f>B31+C31-K31</f>
        <v/>
      </c>
      <c r="M31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80808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3" t="inlineStr">
        <is>
          <t>SYSTEM SETTINGS</t>
        </is>
      </c>
      <c r="B1" s="13" t="inlineStr"/>
    </row>
    <row r="2">
      <c r="A2" t="inlineStr"/>
      <c r="B2" t="inlineStr"/>
    </row>
    <row r="3">
      <c r="A3" s="13" t="inlineStr">
        <is>
          <t>Alert Thresholds</t>
        </is>
      </c>
      <c r="B3" s="13" t="inlineStr"/>
    </row>
    <row r="4">
      <c r="A4" t="inlineStr">
        <is>
          <t>Low Cash Warning:</t>
        </is>
      </c>
      <c r="B4" s="14" t="n">
        <v>10000</v>
      </c>
    </row>
    <row r="5">
      <c r="A5" t="inlineStr">
        <is>
          <t>Critical Cash Level:</t>
        </is>
      </c>
      <c r="B5" s="14" t="n">
        <v>5000</v>
      </c>
    </row>
    <row r="6">
      <c r="A6" t="inlineStr">
        <is>
          <t>Days Before Due Warning:</t>
        </is>
      </c>
      <c r="B6" s="15" t="n">
        <v>3</v>
      </c>
    </row>
    <row r="7">
      <c r="A7" t="inlineStr"/>
      <c r="B7" t="inlineStr"/>
    </row>
    <row r="8">
      <c r="A8" s="13" t="inlineStr">
        <is>
          <t>Google Sheets Integration</t>
        </is>
      </c>
      <c r="B8" s="13" t="inlineStr"/>
    </row>
    <row r="9">
      <c r="A9" t="inlineStr">
        <is>
          <t>Sheet ID:</t>
        </is>
      </c>
      <c r="B9" t="inlineStr">
        <is>
          <t>YOUR_SHEET_ID_HERE</t>
        </is>
      </c>
    </row>
    <row r="10">
      <c r="A10" t="inlineStr">
        <is>
          <t>Auto-Sync Interval (minutes):</t>
        </is>
      </c>
      <c r="B10" s="15" t="n">
        <v>5</v>
      </c>
    </row>
    <row r="11">
      <c r="A11" t="inlineStr">
        <is>
          <t>Last Sync:</t>
        </is>
      </c>
      <c r="B11" t="inlineStr">
        <is>
          <t>09/30/2025 10:10 PM</t>
        </is>
      </c>
    </row>
    <row r="12">
      <c r="A12" t="inlineStr"/>
      <c r="B12" t="inlineStr"/>
    </row>
    <row r="13">
      <c r="A13" s="13" t="inlineStr">
        <is>
          <t>Report Settings</t>
        </is>
      </c>
      <c r="B13" s="13" t="inlineStr"/>
    </row>
    <row r="14">
      <c r="A14" t="inlineStr">
        <is>
          <t>Default View:</t>
        </is>
      </c>
      <c r="B14" t="inlineStr">
        <is>
          <t>Month</t>
        </is>
      </c>
    </row>
    <row r="15">
      <c r="A15" t="inlineStr">
        <is>
          <t>Include Weekends:</t>
        </is>
      </c>
      <c r="B15" t="inlineStr">
        <is>
          <t>Yes</t>
        </is>
      </c>
    </row>
    <row r="16">
      <c r="A16" t="inlineStr">
        <is>
          <t>Email Reports To:</t>
        </is>
      </c>
      <c r="B16" t="inlineStr">
        <is>
          <t>accounting@company.com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2025-09-30T22:10:41Z</dcterms:created>
  <dcterms:modified xmlns:dcterms="http://purl.org/dc/terms/" xmlns:xsi="http://www.w3.org/2001/XMLSchema-instance" xsi:type="dcterms:W3CDTF">2025-09-30T22:10:42Z</dcterms:modified>
</cp:coreProperties>
</file>