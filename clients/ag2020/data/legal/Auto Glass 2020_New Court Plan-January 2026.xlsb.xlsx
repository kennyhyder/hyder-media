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 Joliet\Downloads\"/>
    </mc:Choice>
  </mc:AlternateContent>
  <xr:revisionPtr revIDLastSave="0" documentId="13_ncr:1_{2B25BD6B-D093-4A99-8FCA-313752D980D1}" xr6:coauthVersionLast="47" xr6:coauthVersionMax="47" xr10:uidLastSave="{00000000-0000-0000-0000-000000000000}"/>
  <bookViews>
    <workbookView xWindow="-14400" yWindow="-16320" windowWidth="29040" windowHeight="15720" activeTab="1" xr2:uid="{00000000-000D-0000-FFFF-FFFF00000000}"/>
  </bookViews>
  <sheets>
    <sheet name="Base Data" sheetId="1" r:id="rId1"/>
    <sheet name="2026" sheetId="2" r:id="rId2"/>
    <sheet name="2027" sheetId="3" r:id="rId3"/>
    <sheet name="2028" sheetId="4" r:id="rId4"/>
    <sheet name="2029" sheetId="5" r:id="rId5"/>
    <sheet name="2030" sheetId="7" r:id="rId6"/>
    <sheet name="2031" sheetId="9" r:id="rId7"/>
  </sheets>
  <definedNames>
    <definedName name="_xlnm.Print_Area" localSheetId="2">'2027'!$A$1:$N$32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9" l="1"/>
  <c r="H39" i="9"/>
  <c r="C9" i="9"/>
  <c r="D9" i="9"/>
  <c r="E9" i="9"/>
  <c r="F9" i="9"/>
  <c r="G9" i="9"/>
  <c r="B9" i="9"/>
  <c r="H38" i="9"/>
  <c r="N9" i="7"/>
  <c r="C9" i="7"/>
  <c r="D9" i="7"/>
  <c r="E9" i="7"/>
  <c r="F9" i="7"/>
  <c r="G9" i="7"/>
  <c r="H9" i="7"/>
  <c r="I9" i="7"/>
  <c r="J9" i="7"/>
  <c r="K9" i="7"/>
  <c r="L9" i="7"/>
  <c r="M9" i="7"/>
  <c r="B9" i="7"/>
  <c r="C9" i="5"/>
  <c r="D9" i="5"/>
  <c r="E9" i="5"/>
  <c r="F9" i="5"/>
  <c r="G9" i="5"/>
  <c r="H9" i="5"/>
  <c r="I9" i="5"/>
  <c r="J9" i="5"/>
  <c r="K9" i="5"/>
  <c r="L9" i="5"/>
  <c r="M9" i="5"/>
  <c r="B9" i="5"/>
  <c r="C9" i="4"/>
  <c r="D9" i="4"/>
  <c r="E9" i="4"/>
  <c r="F9" i="4"/>
  <c r="G9" i="4"/>
  <c r="H9" i="4"/>
  <c r="I9" i="4"/>
  <c r="J9" i="4"/>
  <c r="K9" i="4"/>
  <c r="L9" i="4"/>
  <c r="M9" i="4"/>
  <c r="B9" i="4"/>
  <c r="C28" i="9"/>
  <c r="D28" i="9"/>
  <c r="E28" i="9"/>
  <c r="F28" i="9"/>
  <c r="G28" i="9"/>
  <c r="B28" i="9"/>
  <c r="C28" i="7"/>
  <c r="D28" i="7"/>
  <c r="E28" i="7"/>
  <c r="F28" i="7"/>
  <c r="G28" i="7"/>
  <c r="H28" i="7"/>
  <c r="I28" i="7"/>
  <c r="J28" i="7"/>
  <c r="K28" i="7"/>
  <c r="L28" i="7"/>
  <c r="N28" i="7" s="1"/>
  <c r="M28" i="7"/>
  <c r="B28" i="7"/>
  <c r="C28" i="5"/>
  <c r="D28" i="5"/>
  <c r="E28" i="5"/>
  <c r="F28" i="5"/>
  <c r="G28" i="5"/>
  <c r="H28" i="5"/>
  <c r="I28" i="5"/>
  <c r="J28" i="5"/>
  <c r="K28" i="5"/>
  <c r="L28" i="5"/>
  <c r="M28" i="5"/>
  <c r="N28" i="5" s="1"/>
  <c r="B28" i="5"/>
  <c r="C28" i="4"/>
  <c r="D28" i="4"/>
  <c r="E28" i="4"/>
  <c r="E30" i="4" s="1"/>
  <c r="F28" i="4"/>
  <c r="G28" i="4"/>
  <c r="H28" i="4"/>
  <c r="I28" i="4"/>
  <c r="J28" i="4"/>
  <c r="K28" i="4"/>
  <c r="L28" i="4"/>
  <c r="M28" i="4"/>
  <c r="B28" i="4"/>
  <c r="N28" i="4" s="1"/>
  <c r="C28" i="3"/>
  <c r="D28" i="3"/>
  <c r="N28" i="3" s="1"/>
  <c r="E28" i="3"/>
  <c r="F28" i="3"/>
  <c r="G28" i="3"/>
  <c r="H28" i="3"/>
  <c r="I28" i="3"/>
  <c r="J28" i="3"/>
  <c r="K28" i="3"/>
  <c r="L28" i="3"/>
  <c r="M28" i="3"/>
  <c r="B28" i="3"/>
  <c r="B28" i="2"/>
  <c r="C9" i="3"/>
  <c r="D9" i="3"/>
  <c r="E9" i="3"/>
  <c r="F9" i="3"/>
  <c r="G9" i="3"/>
  <c r="H9" i="3"/>
  <c r="I9" i="3"/>
  <c r="J9" i="3"/>
  <c r="K9" i="3"/>
  <c r="L9" i="3"/>
  <c r="M9" i="3"/>
  <c r="B9" i="3"/>
  <c r="C9" i="2"/>
  <c r="D9" i="2"/>
  <c r="E9" i="2"/>
  <c r="F9" i="2"/>
  <c r="G9" i="2"/>
  <c r="H9" i="2"/>
  <c r="I9" i="2"/>
  <c r="J9" i="2"/>
  <c r="K9" i="2"/>
  <c r="L9" i="2"/>
  <c r="M9" i="2"/>
  <c r="B9" i="2"/>
  <c r="C18" i="2"/>
  <c r="D18" i="2"/>
  <c r="E18" i="2"/>
  <c r="F18" i="2"/>
  <c r="G18" i="2"/>
  <c r="H18" i="2"/>
  <c r="I18" i="2"/>
  <c r="J18" i="2"/>
  <c r="K18" i="2"/>
  <c r="L18" i="2"/>
  <c r="M18" i="2"/>
  <c r="B18" i="2"/>
  <c r="C28" i="2"/>
  <c r="D28" i="2"/>
  <c r="E28" i="2"/>
  <c r="N28" i="2" s="1"/>
  <c r="F28" i="2"/>
  <c r="G28" i="2"/>
  <c r="H28" i="2"/>
  <c r="I28" i="2"/>
  <c r="J28" i="2"/>
  <c r="K28" i="2"/>
  <c r="L28" i="2"/>
  <c r="M28" i="2"/>
  <c r="M30" i="2" s="1"/>
  <c r="N39" i="7"/>
  <c r="N38" i="7"/>
  <c r="N39" i="5"/>
  <c r="N38" i="5"/>
  <c r="N39" i="4"/>
  <c r="N38" i="4"/>
  <c r="N39" i="3"/>
  <c r="N38" i="3"/>
  <c r="N38" i="2"/>
  <c r="N39" i="2"/>
  <c r="B36" i="9"/>
  <c r="B40" i="9" s="1"/>
  <c r="H34" i="9"/>
  <c r="H33" i="9"/>
  <c r="C13" i="9"/>
  <c r="D13" i="9"/>
  <c r="E13" i="9"/>
  <c r="E30" i="9" s="1"/>
  <c r="F13" i="9"/>
  <c r="G13" i="9"/>
  <c r="G30" i="9" s="1"/>
  <c r="B13" i="9"/>
  <c r="C13" i="7"/>
  <c r="D13" i="7"/>
  <c r="E13" i="7"/>
  <c r="F13" i="7"/>
  <c r="G13" i="7"/>
  <c r="G30" i="7" s="1"/>
  <c r="H13" i="7"/>
  <c r="H30" i="7" s="1"/>
  <c r="I13" i="7"/>
  <c r="I30" i="7" s="1"/>
  <c r="J13" i="7"/>
  <c r="K13" i="7"/>
  <c r="L13" i="7"/>
  <c r="M13" i="7"/>
  <c r="B13" i="7"/>
  <c r="B30" i="7" s="1"/>
  <c r="C13" i="5"/>
  <c r="D13" i="5"/>
  <c r="E13" i="5"/>
  <c r="F13" i="5"/>
  <c r="G13" i="5"/>
  <c r="H13" i="5"/>
  <c r="I13" i="5"/>
  <c r="J13" i="5"/>
  <c r="K13" i="5"/>
  <c r="L13" i="5"/>
  <c r="M13" i="5"/>
  <c r="B13" i="5"/>
  <c r="C13" i="4"/>
  <c r="D13" i="4"/>
  <c r="E13" i="4"/>
  <c r="F13" i="4"/>
  <c r="G13" i="4"/>
  <c r="H13" i="4"/>
  <c r="I13" i="4"/>
  <c r="J13" i="4"/>
  <c r="K13" i="4"/>
  <c r="L13" i="4"/>
  <c r="M13" i="4"/>
  <c r="B13" i="4"/>
  <c r="G33" i="9"/>
  <c r="F33" i="9"/>
  <c r="E33" i="9"/>
  <c r="D33" i="9"/>
  <c r="C33" i="9"/>
  <c r="B33" i="9"/>
  <c r="N34" i="7"/>
  <c r="M33" i="7"/>
  <c r="L33" i="7"/>
  <c r="K33" i="7"/>
  <c r="J33" i="7"/>
  <c r="I33" i="7"/>
  <c r="H33" i="7"/>
  <c r="G33" i="7"/>
  <c r="F33" i="7"/>
  <c r="E33" i="7"/>
  <c r="D33" i="7"/>
  <c r="C33" i="7"/>
  <c r="B33" i="7"/>
  <c r="N33" i="7" s="1"/>
  <c r="N34" i="5"/>
  <c r="M33" i="5"/>
  <c r="L33" i="5"/>
  <c r="K33" i="5"/>
  <c r="J33" i="5"/>
  <c r="I33" i="5"/>
  <c r="H33" i="5"/>
  <c r="G33" i="5"/>
  <c r="F33" i="5"/>
  <c r="E33" i="5"/>
  <c r="D33" i="5"/>
  <c r="C33" i="5"/>
  <c r="B33" i="5"/>
  <c r="N33" i="5" s="1"/>
  <c r="N34" i="4"/>
  <c r="M33" i="4"/>
  <c r="L33" i="4"/>
  <c r="K33" i="4"/>
  <c r="J33" i="4"/>
  <c r="I33" i="4"/>
  <c r="H33" i="4"/>
  <c r="G33" i="4"/>
  <c r="F33" i="4"/>
  <c r="E33" i="4"/>
  <c r="D33" i="4"/>
  <c r="C33" i="4"/>
  <c r="B33" i="4"/>
  <c r="N33" i="4" s="1"/>
  <c r="C13" i="3"/>
  <c r="D13" i="3"/>
  <c r="E13" i="3"/>
  <c r="F13" i="3"/>
  <c r="G13" i="3"/>
  <c r="H13" i="3"/>
  <c r="I13" i="3"/>
  <c r="J13" i="3"/>
  <c r="K13" i="3"/>
  <c r="L13" i="3"/>
  <c r="M13" i="3"/>
  <c r="B13" i="3"/>
  <c r="C13" i="2"/>
  <c r="D13" i="2"/>
  <c r="E13" i="2"/>
  <c r="F13" i="2"/>
  <c r="G13" i="2"/>
  <c r="H13" i="2"/>
  <c r="I13" i="2"/>
  <c r="J13" i="2"/>
  <c r="K13" i="2"/>
  <c r="L13" i="2"/>
  <c r="M13" i="2"/>
  <c r="B13" i="2"/>
  <c r="C7" i="2"/>
  <c r="D7" i="2"/>
  <c r="E7" i="2"/>
  <c r="F7" i="2"/>
  <c r="G7" i="2"/>
  <c r="H7" i="2"/>
  <c r="I7" i="2"/>
  <c r="J7" i="2"/>
  <c r="K7" i="2"/>
  <c r="L7" i="2"/>
  <c r="M7" i="2"/>
  <c r="B7" i="2"/>
  <c r="B11" i="2" s="1"/>
  <c r="N34" i="2"/>
  <c r="C33" i="2"/>
  <c r="D33" i="2"/>
  <c r="E33" i="2"/>
  <c r="F33" i="2"/>
  <c r="G33" i="2"/>
  <c r="H33" i="2"/>
  <c r="I33" i="2"/>
  <c r="J33" i="2"/>
  <c r="K33" i="2"/>
  <c r="L33" i="2"/>
  <c r="M33" i="2"/>
  <c r="B33" i="2"/>
  <c r="N33" i="3"/>
  <c r="N34" i="3"/>
  <c r="C33" i="3"/>
  <c r="D33" i="3"/>
  <c r="E33" i="3"/>
  <c r="F33" i="3"/>
  <c r="G33" i="3"/>
  <c r="H33" i="3"/>
  <c r="I33" i="3"/>
  <c r="J33" i="3"/>
  <c r="K33" i="3"/>
  <c r="L33" i="3"/>
  <c r="M33" i="3"/>
  <c r="B33" i="3"/>
  <c r="C7" i="9"/>
  <c r="C11" i="9" s="1"/>
  <c r="D7" i="9"/>
  <c r="E7" i="9"/>
  <c r="F7" i="9"/>
  <c r="G7" i="9"/>
  <c r="B7" i="9"/>
  <c r="C7" i="7"/>
  <c r="D7" i="7"/>
  <c r="E7" i="7"/>
  <c r="F7" i="7"/>
  <c r="F11" i="7" s="1"/>
  <c r="G7" i="7"/>
  <c r="G11" i="7" s="1"/>
  <c r="H7" i="7"/>
  <c r="I7" i="7"/>
  <c r="J7" i="7"/>
  <c r="K7" i="7"/>
  <c r="L7" i="7"/>
  <c r="M7" i="7"/>
  <c r="B7" i="7"/>
  <c r="C7" i="5"/>
  <c r="C11" i="5" s="1"/>
  <c r="D7" i="5"/>
  <c r="E7" i="5"/>
  <c r="E11" i="5" s="1"/>
  <c r="F7" i="5"/>
  <c r="G7" i="5"/>
  <c r="H7" i="5"/>
  <c r="I7" i="5"/>
  <c r="J7" i="5"/>
  <c r="K7" i="5"/>
  <c r="L7" i="5"/>
  <c r="M7" i="5"/>
  <c r="B7" i="5"/>
  <c r="J11" i="5"/>
  <c r="C7" i="4"/>
  <c r="D7" i="4"/>
  <c r="E7" i="4"/>
  <c r="F7" i="4"/>
  <c r="G7" i="4"/>
  <c r="H7" i="4"/>
  <c r="I7" i="4"/>
  <c r="J7" i="4"/>
  <c r="K7" i="4"/>
  <c r="L7" i="4"/>
  <c r="M7" i="4"/>
  <c r="B7" i="4"/>
  <c r="C7" i="3"/>
  <c r="D7" i="3"/>
  <c r="E7" i="3"/>
  <c r="F7" i="3"/>
  <c r="G7" i="3"/>
  <c r="H7" i="3"/>
  <c r="I7" i="3"/>
  <c r="J7" i="3"/>
  <c r="K7" i="3"/>
  <c r="L7" i="3"/>
  <c r="M7" i="3"/>
  <c r="B7" i="3"/>
  <c r="D11" i="7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13" i="9"/>
  <c r="G11" i="9"/>
  <c r="C30" i="9"/>
  <c r="D30" i="9"/>
  <c r="F30" i="9"/>
  <c r="C15" i="9"/>
  <c r="D15" i="9"/>
  <c r="E15" i="9"/>
  <c r="F15" i="9"/>
  <c r="G15" i="9"/>
  <c r="C18" i="9"/>
  <c r="D18" i="9"/>
  <c r="E18" i="9"/>
  <c r="F18" i="9"/>
  <c r="G18" i="9"/>
  <c r="C21" i="9"/>
  <c r="D21" i="9"/>
  <c r="E21" i="9"/>
  <c r="F21" i="9"/>
  <c r="G21" i="9"/>
  <c r="C27" i="9"/>
  <c r="D27" i="9"/>
  <c r="E27" i="9"/>
  <c r="F27" i="9"/>
  <c r="G27" i="9"/>
  <c r="H8" i="9"/>
  <c r="F11" i="9"/>
  <c r="B27" i="9"/>
  <c r="B21" i="9"/>
  <c r="B18" i="9"/>
  <c r="B15" i="9"/>
  <c r="B30" i="9"/>
  <c r="B11" i="9"/>
  <c r="B31" i="9" s="1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9" i="7"/>
  <c r="C30" i="7"/>
  <c r="D30" i="7"/>
  <c r="E30" i="7"/>
  <c r="F30" i="7"/>
  <c r="C15" i="7"/>
  <c r="D15" i="7"/>
  <c r="E15" i="7"/>
  <c r="F15" i="7"/>
  <c r="G15" i="7"/>
  <c r="H15" i="7"/>
  <c r="I15" i="7"/>
  <c r="J15" i="7"/>
  <c r="K15" i="7"/>
  <c r="L15" i="7"/>
  <c r="M15" i="7"/>
  <c r="C18" i="7"/>
  <c r="D18" i="7"/>
  <c r="E18" i="7"/>
  <c r="F18" i="7"/>
  <c r="G18" i="7"/>
  <c r="H18" i="7"/>
  <c r="I18" i="7"/>
  <c r="J18" i="7"/>
  <c r="K18" i="7"/>
  <c r="L18" i="7"/>
  <c r="M18" i="7"/>
  <c r="C21" i="7"/>
  <c r="D21" i="7"/>
  <c r="E21" i="7"/>
  <c r="F21" i="7"/>
  <c r="G21" i="7"/>
  <c r="H21" i="7"/>
  <c r="I21" i="7"/>
  <c r="J21" i="7"/>
  <c r="K21" i="7"/>
  <c r="L21" i="7"/>
  <c r="M21" i="7"/>
  <c r="C27" i="7"/>
  <c r="D27" i="7"/>
  <c r="E27" i="7"/>
  <c r="F27" i="7"/>
  <c r="G27" i="7"/>
  <c r="H27" i="7"/>
  <c r="I27" i="7"/>
  <c r="J27" i="7"/>
  <c r="K27" i="7"/>
  <c r="L27" i="7"/>
  <c r="M27" i="7"/>
  <c r="N8" i="7"/>
  <c r="C11" i="7"/>
  <c r="E11" i="7"/>
  <c r="B27" i="7"/>
  <c r="B21" i="7"/>
  <c r="B18" i="7"/>
  <c r="B15" i="7"/>
  <c r="N29" i="5"/>
  <c r="M27" i="5"/>
  <c r="L27" i="5"/>
  <c r="K27" i="5"/>
  <c r="J27" i="5"/>
  <c r="I27" i="5"/>
  <c r="H27" i="5"/>
  <c r="G27" i="5"/>
  <c r="F27" i="5"/>
  <c r="E27" i="5"/>
  <c r="D27" i="5"/>
  <c r="C27" i="5"/>
  <c r="B27" i="5"/>
  <c r="N26" i="5"/>
  <c r="N25" i="5"/>
  <c r="N24" i="5"/>
  <c r="N23" i="5"/>
  <c r="N22" i="5"/>
  <c r="M21" i="5"/>
  <c r="L21" i="5"/>
  <c r="K21" i="5"/>
  <c r="J21" i="5"/>
  <c r="I21" i="5"/>
  <c r="H21" i="5"/>
  <c r="G21" i="5"/>
  <c r="F21" i="5"/>
  <c r="E21" i="5"/>
  <c r="D21" i="5"/>
  <c r="C21" i="5"/>
  <c r="B21" i="5"/>
  <c r="N21" i="5" s="1"/>
  <c r="N20" i="5"/>
  <c r="N19" i="5"/>
  <c r="M18" i="5"/>
  <c r="L18" i="5"/>
  <c r="K18" i="5"/>
  <c r="J18" i="5"/>
  <c r="I18" i="5"/>
  <c r="H18" i="5"/>
  <c r="G18" i="5"/>
  <c r="F18" i="5"/>
  <c r="E18" i="5"/>
  <c r="D18" i="5"/>
  <c r="C18" i="5"/>
  <c r="B18" i="5"/>
  <c r="N17" i="5"/>
  <c r="N16" i="5"/>
  <c r="M15" i="5"/>
  <c r="L15" i="5"/>
  <c r="K15" i="5"/>
  <c r="J15" i="5"/>
  <c r="I15" i="5"/>
  <c r="H15" i="5"/>
  <c r="G15" i="5"/>
  <c r="F15" i="5"/>
  <c r="E15" i="5"/>
  <c r="D15" i="5"/>
  <c r="C15" i="5"/>
  <c r="B15" i="5"/>
  <c r="N14" i="5"/>
  <c r="B30" i="5"/>
  <c r="N12" i="5"/>
  <c r="N10" i="5"/>
  <c r="D11" i="5"/>
  <c r="N8" i="5"/>
  <c r="C21" i="4"/>
  <c r="D21" i="4"/>
  <c r="E21" i="4"/>
  <c r="F21" i="4"/>
  <c r="G21" i="4"/>
  <c r="H21" i="4"/>
  <c r="I21" i="4"/>
  <c r="J21" i="4"/>
  <c r="K21" i="4"/>
  <c r="L21" i="4"/>
  <c r="M21" i="4"/>
  <c r="B21" i="4"/>
  <c r="N29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N25" i="4"/>
  <c r="N24" i="4"/>
  <c r="N23" i="4"/>
  <c r="N22" i="4"/>
  <c r="N20" i="4"/>
  <c r="N19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N16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N12" i="4"/>
  <c r="N10" i="4"/>
  <c r="N8" i="4"/>
  <c r="C27" i="3"/>
  <c r="D27" i="3"/>
  <c r="E27" i="3"/>
  <c r="F27" i="3"/>
  <c r="G27" i="3"/>
  <c r="H27" i="3"/>
  <c r="I27" i="3"/>
  <c r="J27" i="3"/>
  <c r="K27" i="3"/>
  <c r="L27" i="3"/>
  <c r="M27" i="3"/>
  <c r="B27" i="3"/>
  <c r="N29" i="3"/>
  <c r="N26" i="3"/>
  <c r="N25" i="3"/>
  <c r="N24" i="3"/>
  <c r="N23" i="3"/>
  <c r="N22" i="3"/>
  <c r="N21" i="3"/>
  <c r="N20" i="3"/>
  <c r="N19" i="3"/>
  <c r="M18" i="3"/>
  <c r="L18" i="3"/>
  <c r="K18" i="3"/>
  <c r="J18" i="3"/>
  <c r="I18" i="3"/>
  <c r="H18" i="3"/>
  <c r="G18" i="3"/>
  <c r="F18" i="3"/>
  <c r="E18" i="3"/>
  <c r="D18" i="3"/>
  <c r="C18" i="3"/>
  <c r="B18" i="3"/>
  <c r="N17" i="3"/>
  <c r="N16" i="3"/>
  <c r="M15" i="3"/>
  <c r="L15" i="3"/>
  <c r="K15" i="3"/>
  <c r="J15" i="3"/>
  <c r="I15" i="3"/>
  <c r="H15" i="3"/>
  <c r="G15" i="3"/>
  <c r="F15" i="3"/>
  <c r="E15" i="3"/>
  <c r="D15" i="3"/>
  <c r="C15" i="3"/>
  <c r="B15" i="3"/>
  <c r="N14" i="3"/>
  <c r="C30" i="3"/>
  <c r="N12" i="3"/>
  <c r="N10" i="3"/>
  <c r="N8" i="3"/>
  <c r="L30" i="2"/>
  <c r="C27" i="2"/>
  <c r="D27" i="2"/>
  <c r="E27" i="2"/>
  <c r="F27" i="2"/>
  <c r="G27" i="2"/>
  <c r="H27" i="2"/>
  <c r="I27" i="2"/>
  <c r="J27" i="2"/>
  <c r="K27" i="2"/>
  <c r="L27" i="2"/>
  <c r="M27" i="2"/>
  <c r="B27" i="2"/>
  <c r="F45" i="1"/>
  <c r="E45" i="1"/>
  <c r="N21" i="2"/>
  <c r="N22" i="2"/>
  <c r="N23" i="2"/>
  <c r="N24" i="2"/>
  <c r="N25" i="2"/>
  <c r="N26" i="2"/>
  <c r="N29" i="2"/>
  <c r="N33" i="2"/>
  <c r="F30" i="1"/>
  <c r="F29" i="1"/>
  <c r="E29" i="1"/>
  <c r="E30" i="1"/>
  <c r="C15" i="2"/>
  <c r="D15" i="2"/>
  <c r="E15" i="2"/>
  <c r="F15" i="2"/>
  <c r="G15" i="2"/>
  <c r="H15" i="2"/>
  <c r="I15" i="2"/>
  <c r="J15" i="2"/>
  <c r="K15" i="2"/>
  <c r="L15" i="2"/>
  <c r="M15" i="2"/>
  <c r="B15" i="2"/>
  <c r="F27" i="1"/>
  <c r="E11" i="1"/>
  <c r="E27" i="1"/>
  <c r="E30" i="2"/>
  <c r="F30" i="2"/>
  <c r="G21" i="1"/>
  <c r="F12" i="1"/>
  <c r="F21" i="1"/>
  <c r="E12" i="1"/>
  <c r="N8" i="2"/>
  <c r="N10" i="2"/>
  <c r="N12" i="2"/>
  <c r="N14" i="2"/>
  <c r="N16" i="2"/>
  <c r="N17" i="2"/>
  <c r="N19" i="2"/>
  <c r="N20" i="2"/>
  <c r="F18" i="1"/>
  <c r="F10" i="1"/>
  <c r="D10" i="1"/>
  <c r="D12" i="1" s="1"/>
  <c r="F17" i="1"/>
  <c r="E18" i="1"/>
  <c r="C12" i="1"/>
  <c r="B12" i="1"/>
  <c r="B38" i="1"/>
  <c r="D27" i="1"/>
  <c r="D48" i="1" s="1"/>
  <c r="C27" i="1"/>
  <c r="C48" i="1" s="1"/>
  <c r="B27" i="1"/>
  <c r="B48" i="1" s="1"/>
  <c r="D17" i="1"/>
  <c r="D18" i="1" s="1"/>
  <c r="D19" i="1" s="1"/>
  <c r="D49" i="1" s="1"/>
  <c r="C17" i="1"/>
  <c r="C18" i="1" s="1"/>
  <c r="C19" i="1" s="1"/>
  <c r="B17" i="1"/>
  <c r="B18" i="1" s="1"/>
  <c r="C10" i="1"/>
  <c r="B10" i="1"/>
  <c r="B19" i="1" s="1"/>
  <c r="B49" i="1" s="1"/>
  <c r="G31" i="9" l="1"/>
  <c r="G36" i="9" s="1"/>
  <c r="G40" i="9" s="1"/>
  <c r="K11" i="5"/>
  <c r="L11" i="5"/>
  <c r="M11" i="4"/>
  <c r="K11" i="4"/>
  <c r="L11" i="4"/>
  <c r="M30" i="7"/>
  <c r="L30" i="7"/>
  <c r="K30" i="7"/>
  <c r="J30" i="7"/>
  <c r="G31" i="7"/>
  <c r="G36" i="7" s="1"/>
  <c r="G40" i="7" s="1"/>
  <c r="F31" i="7"/>
  <c r="F36" i="7" s="1"/>
  <c r="F40" i="7" s="1"/>
  <c r="E31" i="7"/>
  <c r="E36" i="7" s="1"/>
  <c r="E40" i="7" s="1"/>
  <c r="C31" i="7"/>
  <c r="C36" i="7" s="1"/>
  <c r="C40" i="7" s="1"/>
  <c r="N13" i="7"/>
  <c r="J30" i="5"/>
  <c r="J31" i="5" s="1"/>
  <c r="J36" i="5" s="1"/>
  <c r="J40" i="5" s="1"/>
  <c r="D30" i="2"/>
  <c r="H7" i="9"/>
  <c r="C31" i="9"/>
  <c r="C36" i="9" s="1"/>
  <c r="C40" i="9" s="1"/>
  <c r="E11" i="9"/>
  <c r="E31" i="9" s="1"/>
  <c r="E36" i="9" s="1"/>
  <c r="E40" i="9" s="1"/>
  <c r="D11" i="9"/>
  <c r="D31" i="9" s="1"/>
  <c r="D36" i="9" s="1"/>
  <c r="D40" i="9" s="1"/>
  <c r="F31" i="9"/>
  <c r="F36" i="9" s="1"/>
  <c r="F40" i="9" s="1"/>
  <c r="H9" i="9"/>
  <c r="H11" i="9" s="1"/>
  <c r="K11" i="7"/>
  <c r="M11" i="7"/>
  <c r="H11" i="7"/>
  <c r="H31" i="7" s="1"/>
  <c r="H36" i="7" s="1"/>
  <c r="H40" i="7" s="1"/>
  <c r="J11" i="7"/>
  <c r="J31" i="7" s="1"/>
  <c r="J36" i="7" s="1"/>
  <c r="J40" i="7" s="1"/>
  <c r="I11" i="7"/>
  <c r="I31" i="7" s="1"/>
  <c r="I36" i="7" s="1"/>
  <c r="I40" i="7" s="1"/>
  <c r="N7" i="7"/>
  <c r="N11" i="7" s="1"/>
  <c r="D31" i="7"/>
  <c r="D36" i="7" s="1"/>
  <c r="D40" i="7" s="1"/>
  <c r="H30" i="9"/>
  <c r="L11" i="7"/>
  <c r="L31" i="7" s="1"/>
  <c r="L36" i="7" s="1"/>
  <c r="L40" i="7" s="1"/>
  <c r="B11" i="7"/>
  <c r="B31" i="7" s="1"/>
  <c r="B36" i="7" s="1"/>
  <c r="M11" i="5"/>
  <c r="M30" i="5"/>
  <c r="M31" i="5" s="1"/>
  <c r="M36" i="5" s="1"/>
  <c r="M40" i="5" s="1"/>
  <c r="L30" i="5"/>
  <c r="L31" i="5" s="1"/>
  <c r="L36" i="5" s="1"/>
  <c r="L40" i="5" s="1"/>
  <c r="K30" i="5"/>
  <c r="K31" i="5" s="1"/>
  <c r="K36" i="5" s="1"/>
  <c r="K40" i="5" s="1"/>
  <c r="N15" i="5"/>
  <c r="N18" i="5"/>
  <c r="I30" i="5"/>
  <c r="H30" i="5"/>
  <c r="G30" i="5"/>
  <c r="F30" i="5"/>
  <c r="E30" i="5"/>
  <c r="E31" i="5" s="1"/>
  <c r="E36" i="5" s="1"/>
  <c r="E40" i="5" s="1"/>
  <c r="D30" i="5"/>
  <c r="D31" i="5" s="1"/>
  <c r="D36" i="5" s="1"/>
  <c r="D40" i="5" s="1"/>
  <c r="N27" i="5"/>
  <c r="C30" i="5"/>
  <c r="C31" i="5" s="1"/>
  <c r="C36" i="5" s="1"/>
  <c r="C40" i="5" s="1"/>
  <c r="N7" i="5"/>
  <c r="F11" i="5"/>
  <c r="I11" i="5"/>
  <c r="G11" i="5"/>
  <c r="H11" i="5"/>
  <c r="N13" i="5"/>
  <c r="N21" i="4"/>
  <c r="I30" i="4"/>
  <c r="M30" i="4"/>
  <c r="M31" i="4" s="1"/>
  <c r="M36" i="4" s="1"/>
  <c r="M40" i="4" s="1"/>
  <c r="N18" i="4"/>
  <c r="L30" i="4"/>
  <c r="L31" i="4" s="1"/>
  <c r="L36" i="4" s="1"/>
  <c r="L40" i="4" s="1"/>
  <c r="K30" i="4"/>
  <c r="K31" i="4" s="1"/>
  <c r="K36" i="4" s="1"/>
  <c r="K40" i="4" s="1"/>
  <c r="J30" i="4"/>
  <c r="H30" i="4"/>
  <c r="G30" i="4"/>
  <c r="N7" i="4"/>
  <c r="F30" i="4"/>
  <c r="N27" i="4"/>
  <c r="D30" i="4"/>
  <c r="C30" i="4"/>
  <c r="N15" i="4"/>
  <c r="B11" i="4"/>
  <c r="B30" i="4"/>
  <c r="B31" i="4" s="1"/>
  <c r="B36" i="4" s="1"/>
  <c r="B40" i="4" s="1"/>
  <c r="C11" i="4"/>
  <c r="F11" i="4"/>
  <c r="D11" i="4"/>
  <c r="G11" i="4"/>
  <c r="H11" i="4"/>
  <c r="E11" i="4"/>
  <c r="E31" i="4" s="1"/>
  <c r="E36" i="4" s="1"/>
  <c r="E40" i="4" s="1"/>
  <c r="I11" i="4"/>
  <c r="I31" i="4" s="1"/>
  <c r="I36" i="4" s="1"/>
  <c r="I40" i="4" s="1"/>
  <c r="J11" i="4"/>
  <c r="N13" i="4"/>
  <c r="I30" i="2"/>
  <c r="G30" i="2"/>
  <c r="K11" i="3"/>
  <c r="M11" i="3"/>
  <c r="L11" i="3"/>
  <c r="M30" i="3"/>
  <c r="N18" i="3"/>
  <c r="L30" i="3"/>
  <c r="K30" i="3"/>
  <c r="N15" i="3"/>
  <c r="J11" i="3"/>
  <c r="J30" i="3"/>
  <c r="N7" i="3"/>
  <c r="I11" i="3"/>
  <c r="I30" i="3"/>
  <c r="H30" i="3"/>
  <c r="G30" i="3"/>
  <c r="F30" i="3"/>
  <c r="E30" i="3"/>
  <c r="D30" i="3"/>
  <c r="N27" i="3"/>
  <c r="B11" i="3"/>
  <c r="B30" i="3"/>
  <c r="F11" i="3"/>
  <c r="G11" i="3"/>
  <c r="H11" i="3"/>
  <c r="C11" i="3"/>
  <c r="D11" i="3"/>
  <c r="E11" i="3"/>
  <c r="N13" i="3"/>
  <c r="K30" i="2"/>
  <c r="C30" i="2"/>
  <c r="J30" i="2"/>
  <c r="B30" i="2"/>
  <c r="B31" i="2" s="1"/>
  <c r="B36" i="2" s="1"/>
  <c r="B40" i="2" s="1"/>
  <c r="H30" i="2"/>
  <c r="N27" i="2"/>
  <c r="N18" i="2"/>
  <c r="F11" i="2"/>
  <c r="F31" i="2" s="1"/>
  <c r="F36" i="2" s="1"/>
  <c r="F40" i="2" s="1"/>
  <c r="G11" i="2"/>
  <c r="E11" i="2"/>
  <c r="E31" i="2" s="1"/>
  <c r="E36" i="2" s="1"/>
  <c r="E40" i="2" s="1"/>
  <c r="N13" i="2"/>
  <c r="D11" i="2"/>
  <c r="N15" i="2"/>
  <c r="C11" i="2"/>
  <c r="N7" i="2"/>
  <c r="G12" i="1"/>
  <c r="N9" i="2"/>
  <c r="M11" i="2"/>
  <c r="M31" i="2" s="1"/>
  <c r="M36" i="2" s="1"/>
  <c r="M40" i="2" s="1"/>
  <c r="L11" i="2"/>
  <c r="L31" i="2" s="1"/>
  <c r="L36" i="2" s="1"/>
  <c r="L40" i="2" s="1"/>
  <c r="K11" i="2"/>
  <c r="J11" i="2"/>
  <c r="I11" i="2"/>
  <c r="H11" i="2"/>
  <c r="C49" i="1"/>
  <c r="M31" i="7" l="1"/>
  <c r="M36" i="7" s="1"/>
  <c r="M40" i="7" s="1"/>
  <c r="K31" i="7"/>
  <c r="K36" i="7" s="1"/>
  <c r="K40" i="7" s="1"/>
  <c r="B40" i="7"/>
  <c r="F31" i="3"/>
  <c r="F36" i="3" s="1"/>
  <c r="F40" i="3" s="1"/>
  <c r="G31" i="2"/>
  <c r="G36" i="2" s="1"/>
  <c r="G40" i="2" s="1"/>
  <c r="C31" i="2"/>
  <c r="C36" i="2" s="1"/>
  <c r="C40" i="2" s="1"/>
  <c r="J31" i="2"/>
  <c r="J36" i="2" s="1"/>
  <c r="J40" i="2" s="1"/>
  <c r="K31" i="2"/>
  <c r="K36" i="2" s="1"/>
  <c r="K40" i="2" s="1"/>
  <c r="I31" i="5"/>
  <c r="I36" i="5" s="1"/>
  <c r="I40" i="5" s="1"/>
  <c r="D31" i="2"/>
  <c r="D36" i="2" s="1"/>
  <c r="D40" i="2" s="1"/>
  <c r="I31" i="2"/>
  <c r="I36" i="2" s="1"/>
  <c r="I40" i="2" s="1"/>
  <c r="H31" i="9"/>
  <c r="H36" i="9" s="1"/>
  <c r="N30" i="7"/>
  <c r="N31" i="7" s="1"/>
  <c r="G31" i="5"/>
  <c r="G36" i="5" s="1"/>
  <c r="G40" i="5" s="1"/>
  <c r="N30" i="5"/>
  <c r="F31" i="5"/>
  <c r="F36" i="5" s="1"/>
  <c r="F40" i="5" s="1"/>
  <c r="H31" i="5"/>
  <c r="H36" i="5" s="1"/>
  <c r="H40" i="5" s="1"/>
  <c r="D31" i="4"/>
  <c r="D36" i="4" s="1"/>
  <c r="D40" i="4" s="1"/>
  <c r="C31" i="4"/>
  <c r="C36" i="4" s="1"/>
  <c r="C40" i="4" s="1"/>
  <c r="H31" i="4"/>
  <c r="H36" i="4" s="1"/>
  <c r="H40" i="4" s="1"/>
  <c r="N9" i="5"/>
  <c r="B11" i="5"/>
  <c r="F31" i="4"/>
  <c r="F36" i="4" s="1"/>
  <c r="F40" i="4" s="1"/>
  <c r="J31" i="4"/>
  <c r="J36" i="4" s="1"/>
  <c r="J40" i="4" s="1"/>
  <c r="N30" i="4"/>
  <c r="G31" i="4"/>
  <c r="G36" i="4" s="1"/>
  <c r="G40" i="4" s="1"/>
  <c r="N9" i="4"/>
  <c r="N11" i="4"/>
  <c r="I31" i="3"/>
  <c r="I36" i="3" s="1"/>
  <c r="I40" i="3" s="1"/>
  <c r="G31" i="3"/>
  <c r="G36" i="3" s="1"/>
  <c r="G40" i="3" s="1"/>
  <c r="E31" i="3"/>
  <c r="E36" i="3" s="1"/>
  <c r="E40" i="3" s="1"/>
  <c r="B31" i="3"/>
  <c r="B36" i="3" s="1"/>
  <c r="B40" i="3" s="1"/>
  <c r="H31" i="2"/>
  <c r="H36" i="2" s="1"/>
  <c r="H40" i="2" s="1"/>
  <c r="N30" i="2"/>
  <c r="J31" i="3"/>
  <c r="J36" i="3" s="1"/>
  <c r="J40" i="3" s="1"/>
  <c r="H31" i="3"/>
  <c r="H36" i="3" s="1"/>
  <c r="H40" i="3" s="1"/>
  <c r="L31" i="3"/>
  <c r="L36" i="3" s="1"/>
  <c r="L40" i="3" s="1"/>
  <c r="K31" i="3"/>
  <c r="K36" i="3" s="1"/>
  <c r="K40" i="3" s="1"/>
  <c r="M31" i="3"/>
  <c r="M36" i="3" s="1"/>
  <c r="M40" i="3" s="1"/>
  <c r="N30" i="3"/>
  <c r="D31" i="3"/>
  <c r="D36" i="3" s="1"/>
  <c r="D40" i="3" s="1"/>
  <c r="C31" i="3"/>
  <c r="C36" i="3" s="1"/>
  <c r="C40" i="3" s="1"/>
  <c r="N11" i="3"/>
  <c r="N9" i="3"/>
  <c r="N11" i="2"/>
  <c r="N36" i="7" l="1"/>
  <c r="N40" i="7" s="1"/>
  <c r="N31" i="2"/>
  <c r="N36" i="2" s="1"/>
  <c r="N40" i="2" s="1"/>
  <c r="B31" i="5"/>
  <c r="N11" i="5"/>
  <c r="N31" i="4"/>
  <c r="N36" i="4" s="1"/>
  <c r="N40" i="4" s="1"/>
  <c r="N31" i="3"/>
  <c r="N36" i="3" s="1"/>
  <c r="N40" i="3" s="1"/>
  <c r="N31" i="5" l="1"/>
  <c r="N36" i="5" s="1"/>
  <c r="N40" i="5" s="1"/>
  <c r="B36" i="5"/>
  <c r="B40" i="5" s="1"/>
</calcChain>
</file>

<file path=xl/sharedStrings.xml><?xml version="1.0" encoding="utf-8"?>
<sst xmlns="http://schemas.openxmlformats.org/spreadsheetml/2006/main" count="320" uniqueCount="75">
  <si>
    <t>Profit and Loss</t>
  </si>
  <si>
    <t>Auto Glass 2020</t>
  </si>
  <si>
    <t>September 1-November 30, 2025</t>
  </si>
  <si>
    <t>Income</t>
  </si>
  <si>
    <t>Adjustments</t>
  </si>
  <si>
    <t>Sales</t>
  </si>
  <si>
    <t>Sales of Product Income</t>
  </si>
  <si>
    <t>Total for Income</t>
  </si>
  <si>
    <t>Cost of Goods Sold</t>
  </si>
  <si>
    <t>Job Supplies</t>
  </si>
  <si>
    <t>Materials</t>
  </si>
  <si>
    <t>Total for Cost of Goods Sold</t>
  </si>
  <si>
    <t>Gross Profit</t>
  </si>
  <si>
    <t>Expenses</t>
  </si>
  <si>
    <t>Advertising &amp; Marketing</t>
  </si>
  <si>
    <t>Ask My Accountant</t>
  </si>
  <si>
    <t>Bank Charges &amp; Fees</t>
  </si>
  <si>
    <t>Car &amp; Truck</t>
  </si>
  <si>
    <t>Fuel</t>
  </si>
  <si>
    <t>Repairs &amp; Maintenance</t>
  </si>
  <si>
    <t>Total for Car &amp; Truck</t>
  </si>
  <si>
    <t>Dues &amp; Subscriptions</t>
  </si>
  <si>
    <t>Finance Fees</t>
  </si>
  <si>
    <t>Incentives</t>
  </si>
  <si>
    <t>Insurance</t>
  </si>
  <si>
    <t>Legal &amp; Professional Services</t>
  </si>
  <si>
    <t>Office Rent</t>
  </si>
  <si>
    <t>Office Supplies &amp; Software</t>
  </si>
  <si>
    <t>Other Business Expenses</t>
  </si>
  <si>
    <t>Payroll</t>
  </si>
  <si>
    <t>Salaries &amp; Wages</t>
  </si>
  <si>
    <t>Total for Payroll</t>
  </si>
  <si>
    <t>Rebate</t>
  </si>
  <si>
    <t>Referral</t>
  </si>
  <si>
    <t>Rent &amp; Lease</t>
  </si>
  <si>
    <t>Sales Tax</t>
  </si>
  <si>
    <t>Small tools and equipment</t>
  </si>
  <si>
    <t>Subcontractor</t>
  </si>
  <si>
    <t>Taxes &amp; Licenses</t>
  </si>
  <si>
    <t>Utilities</t>
  </si>
  <si>
    <t>Total for Expenses</t>
  </si>
  <si>
    <t>Net Operating Income</t>
  </si>
  <si>
    <t>Net Other Income</t>
  </si>
  <si>
    <t>Net Income</t>
  </si>
  <si>
    <t>Distribution account</t>
  </si>
  <si>
    <t>September 2025</t>
  </si>
  <si>
    <t>October 2025</t>
  </si>
  <si>
    <t>November 2025</t>
  </si>
  <si>
    <t>Accrual Basis Wednesday, January 07, 2026 05:40 PM GMTZ</t>
  </si>
  <si>
    <t># of installs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</si>
  <si>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</si>
  <si>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</si>
  <si>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</si>
  <si>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</si>
  <si>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</si>
  <si>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</si>
  <si>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</si>
  <si>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</si>
  <si>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</si>
  <si>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</si>
  <si>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</si>
  <si>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</si>
  <si>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</si>
  <si>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Revenue per install</t>
  </si>
  <si>
    <t>6 month</t>
  </si>
  <si>
    <t>Total</t>
  </si>
  <si>
    <t>Truck Loan payments</t>
  </si>
  <si>
    <t>EIDL</t>
  </si>
  <si>
    <t>Cash flow after loans</t>
  </si>
  <si>
    <t>Cash Flow after loans</t>
  </si>
  <si>
    <t>Cash flow after Loans</t>
  </si>
  <si>
    <t>Cash Flow after Loans</t>
  </si>
  <si>
    <t>AZ Tax Claim</t>
  </si>
  <si>
    <t>Adminstative Claims</t>
  </si>
  <si>
    <t>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</si>
</sst>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1" fillId="0" borderId="1"/>
    <xf numFmtId="0" fontId="1" fillId="0" borderId="0"/>
    <xf numFmtId="0" fontId="1" fillId="0" borderId="2"/>
    <xf numFmtId="43" fontId="8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1"/>
    </xf>
    <xf numFmtId="0" fontId="4" fillId="0" borderId="1" xfId="1" applyFont="1" applyAlignment="1">
      <alignment horizontal="center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wrapText="1"/>
    </xf>
    <xf numFmtId="4" fontId="3" fillId="0" borderId="2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3" fontId="3" fillId="0" borderId="0" xfId="0" applyNumberFormat="1" applyFont="1" applyAlignment="1">
      <alignment wrapText="1"/>
    </xf>
    <xf numFmtId="3" fontId="0" fillId="0" borderId="0" xfId="0" applyNumberFormat="1"/>
    <xf numFmtId="4" fontId="0" fillId="0" borderId="0" xfId="0" applyNumberFormat="1"/>
    <xf numFmtId="0" fontId="0" fillId="0" borderId="1" xfId="0" applyBorder="1"/>
    <xf numFmtId="0" fontId="7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165" fontId="0" fillId="0" borderId="0" xfId="4" applyNumberFormat="1" applyFont="1"/>
    <xf numFmtId="165" fontId="0" fillId="0" borderId="1" xfId="4" applyNumberFormat="1" applyFont="1" applyBorder="1"/>
    <xf numFmtId="165" fontId="0" fillId="0" borderId="0" xfId="0" applyNumberFormat="1"/>
    <xf numFmtId="0" fontId="0" fillId="0" borderId="0" xfId="0" applyBorder="1"/>
    <xf numFmtId="165" fontId="0" fillId="0" borderId="0" xfId="0" applyNumberFormat="1" applyBorder="1"/>
  </cellXfs>
  <cellStyles count="5">
    <cellStyle name="Comma" xfId="4" builtinId="3"/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G55"/>
  <sheetViews>
    <sheetView topLeftCell="A19" workbookViewId="0">
      <selection activeCell="I35" sqref="I35"/>
    </sheetView>
  </sheetViews>
  <sheetFormatPr defaultColWidth="11.296875" defaultRowHeight="15.6" outlineLevelRow="2" x14ac:dyDescent="0.3"/>
  <cols>
    <col min="1" max="1" width="25.5" style="1" customWidth="1"/>
    <col min="2" max="2" width="16.09765625" style="1" customWidth="1"/>
    <col min="3" max="3" width="15.19921875" style="1" customWidth="1"/>
    <col min="4" max="4" width="16.09765625" style="1" customWidth="1"/>
  </cols>
  <sheetData>
    <row r="1" spans="1:7" x14ac:dyDescent="0.3">
      <c r="A1" s="18" t="s">
        <v>0</v>
      </c>
      <c r="B1" s="19"/>
      <c r="C1" s="19"/>
      <c r="D1" s="19"/>
    </row>
    <row r="2" spans="1:7" x14ac:dyDescent="0.3">
      <c r="A2" s="20" t="s">
        <v>1</v>
      </c>
      <c r="B2" s="19"/>
      <c r="C2" s="19"/>
      <c r="D2" s="19"/>
    </row>
    <row r="3" spans="1:7" x14ac:dyDescent="0.3">
      <c r="A3" s="21" t="s">
        <v>2</v>
      </c>
      <c r="B3" s="19"/>
      <c r="C3" s="19"/>
      <c r="D3" s="19"/>
    </row>
    <row r="5" spans="1:7" x14ac:dyDescent="0.3">
      <c r="A5" s="7" t="s">
        <v>44</v>
      </c>
      <c r="B5" s="7" t="s">
        <v>45</v>
      </c>
      <c r="C5" s="7" t="s">
        <v>46</v>
      </c>
      <c r="D5" s="7" t="s">
        <v>47</v>
      </c>
      <c r="E5" s="7" t="s">
        <v>61</v>
      </c>
    </row>
    <row r="6" spans="1:7" x14ac:dyDescent="0.3">
      <c r="A6" s="2" t="s">
        <v>3</v>
      </c>
      <c r="B6" s="8"/>
      <c r="C6" s="8"/>
      <c r="D6" s="8"/>
    </row>
    <row r="7" spans="1:7" outlineLevel="1" x14ac:dyDescent="0.3">
      <c r="A7" s="3" t="s">
        <v>4</v>
      </c>
      <c r="B7" s="9">
        <v>-420</v>
      </c>
      <c r="C7" s="9">
        <v>-440</v>
      </c>
      <c r="D7" s="9">
        <v>-340</v>
      </c>
    </row>
    <row r="8" spans="1:7" outlineLevel="1" x14ac:dyDescent="0.3">
      <c r="A8" s="3" t="s">
        <v>5</v>
      </c>
      <c r="B8" s="9">
        <v>234163.48</v>
      </c>
      <c r="C8" s="9">
        <v>286167.3</v>
      </c>
      <c r="D8" s="9">
        <v>214565.67</v>
      </c>
    </row>
    <row r="9" spans="1:7" outlineLevel="1" x14ac:dyDescent="0.3">
      <c r="A9" s="3" t="s">
        <v>6</v>
      </c>
      <c r="B9" s="9">
        <v>0</v>
      </c>
      <c r="C9" s="8"/>
      <c r="D9" s="8"/>
    </row>
    <row r="10" spans="1:7" x14ac:dyDescent="0.3">
      <c r="A10" s="4" t="s">
        <v>7</v>
      </c>
      <c r="B10" s="10">
        <f>B7+B8+B9</f>
        <v>233743.48</v>
      </c>
      <c r="C10" s="10">
        <f>C7+C8+C9</f>
        <v>285727.3</v>
      </c>
      <c r="D10" s="10">
        <f>SUM(D7:D9)</f>
        <v>214225.67</v>
      </c>
      <c r="E10">
        <v>270000</v>
      </c>
      <c r="F10" s="16">
        <f>SUM(B10:D10)</f>
        <v>733696.45000000007</v>
      </c>
    </row>
    <row r="11" spans="1:7" x14ac:dyDescent="0.3">
      <c r="A11" s="4" t="s">
        <v>49</v>
      </c>
      <c r="B11" s="14">
        <v>320</v>
      </c>
      <c r="C11" s="14">
        <v>380</v>
      </c>
      <c r="D11" s="14">
        <v>302</v>
      </c>
      <c r="E11" s="14">
        <f>SUM(B11:D11)</f>
        <v>1002</v>
      </c>
    </row>
    <row r="12" spans="1:7" x14ac:dyDescent="0.3">
      <c r="A12" s="4" t="s">
        <v>63</v>
      </c>
      <c r="B12" s="14">
        <f>B10/B11</f>
        <v>730.44837500000006</v>
      </c>
      <c r="C12" s="14">
        <f t="shared" ref="C12:D12" si="0">C10/C11</f>
        <v>751.91394736842108</v>
      </c>
      <c r="D12" s="14">
        <f t="shared" si="0"/>
        <v>709.35652317880795</v>
      </c>
      <c r="E12" s="14">
        <f>C12+D12</f>
        <v>1461.270470547229</v>
      </c>
      <c r="F12" s="15">
        <f>SUM(C12:D12)</f>
        <v>1461.270470547229</v>
      </c>
      <c r="G12" s="14">
        <f>F12/4</f>
        <v>365.31761763680726</v>
      </c>
    </row>
    <row r="13" spans="1:7" x14ac:dyDescent="0.3">
      <c r="A13" s="2" t="s">
        <v>8</v>
      </c>
      <c r="B13" s="8"/>
      <c r="C13" s="8"/>
      <c r="D13" s="8"/>
    </row>
    <row r="14" spans="1:7" outlineLevel="1" x14ac:dyDescent="0.3">
      <c r="A14" s="3" t="s">
        <v>8</v>
      </c>
      <c r="B14" s="8"/>
      <c r="C14" s="8"/>
      <c r="D14" s="8"/>
    </row>
    <row r="15" spans="1:7" outlineLevel="2" x14ac:dyDescent="0.3">
      <c r="A15" s="5" t="s">
        <v>9</v>
      </c>
      <c r="B15" s="9">
        <v>1797.98</v>
      </c>
      <c r="C15" s="9">
        <v>450</v>
      </c>
      <c r="D15" s="9">
        <v>0</v>
      </c>
    </row>
    <row r="16" spans="1:7" outlineLevel="2" x14ac:dyDescent="0.3">
      <c r="A16" s="5" t="s">
        <v>10</v>
      </c>
      <c r="B16" s="9">
        <v>65454.19</v>
      </c>
      <c r="C16" s="9">
        <v>79982.47</v>
      </c>
      <c r="D16" s="9">
        <v>61032.85</v>
      </c>
    </row>
    <row r="17" spans="1:7" outlineLevel="1" x14ac:dyDescent="0.3">
      <c r="A17" s="6" t="s">
        <v>11</v>
      </c>
      <c r="B17" s="10">
        <f>B14+B15+B16</f>
        <v>67252.17</v>
      </c>
      <c r="C17" s="10">
        <f>C14+C15+C16</f>
        <v>80432.47</v>
      </c>
      <c r="D17" s="10">
        <f>D14+D15+D16</f>
        <v>61032.85</v>
      </c>
      <c r="F17">
        <f>SUM9</f>
        <v>0</v>
      </c>
    </row>
    <row r="18" spans="1:7" x14ac:dyDescent="0.3">
      <c r="A18" s="4" t="s">
        <v>11</v>
      </c>
      <c r="B18" s="10">
        <f>B17</f>
        <v>67252.17</v>
      </c>
      <c r="C18" s="10">
        <f>C17</f>
        <v>80432.47</v>
      </c>
      <c r="D18" s="10">
        <f>D17</f>
        <v>61032.85</v>
      </c>
      <c r="E18" s="16">
        <f>SUM(B18:D18)</f>
        <v>208717.49000000002</v>
      </c>
      <c r="F18">
        <f>E18/F10</f>
        <v>0.28447389925356731</v>
      </c>
    </row>
    <row r="19" spans="1:7" x14ac:dyDescent="0.3">
      <c r="A19" s="4" t="s">
        <v>12</v>
      </c>
      <c r="B19" s="10">
        <f>B10-B18</f>
        <v>166491.31</v>
      </c>
      <c r="C19" s="10">
        <f>C10-C18</f>
        <v>205294.83</v>
      </c>
      <c r="D19" s="10">
        <f>D10-D18</f>
        <v>153192.82</v>
      </c>
    </row>
    <row r="20" spans="1:7" x14ac:dyDescent="0.3">
      <c r="A20" s="2" t="s">
        <v>13</v>
      </c>
      <c r="B20" s="8"/>
      <c r="C20" s="8"/>
      <c r="D20" s="8"/>
    </row>
    <row r="21" spans="1:7" outlineLevel="1" x14ac:dyDescent="0.3">
      <c r="A21" s="3" t="s">
        <v>14</v>
      </c>
      <c r="B21" s="9">
        <v>27562.240000000002</v>
      </c>
      <c r="C21" s="9">
        <v>58704.36</v>
      </c>
      <c r="D21" s="9">
        <v>49448.68</v>
      </c>
      <c r="F21" s="16">
        <f>SUM(C21:E21)</f>
        <v>108153.04000000001</v>
      </c>
      <c r="G21">
        <f>F21/682</f>
        <v>158.58217008797655</v>
      </c>
    </row>
    <row r="22" spans="1:7" outlineLevel="1" x14ac:dyDescent="0.3">
      <c r="A22" s="3" t="s">
        <v>15</v>
      </c>
      <c r="B22" s="8"/>
      <c r="C22" s="8"/>
      <c r="D22" s="9">
        <v>0</v>
      </c>
    </row>
    <row r="23" spans="1:7" outlineLevel="1" x14ac:dyDescent="0.3">
      <c r="A23" s="3" t="s">
        <v>16</v>
      </c>
      <c r="B23" s="9">
        <v>367</v>
      </c>
      <c r="C23" s="9">
        <v>374.85</v>
      </c>
      <c r="D23" s="9">
        <v>331.7</v>
      </c>
    </row>
    <row r="24" spans="1:7" outlineLevel="1" x14ac:dyDescent="0.3">
      <c r="A24" s="3" t="s">
        <v>17</v>
      </c>
      <c r="B24" s="8"/>
      <c r="C24" s="9">
        <v>724.79</v>
      </c>
      <c r="D24" s="8"/>
    </row>
    <row r="25" spans="1:7" outlineLevel="2" x14ac:dyDescent="0.3">
      <c r="A25" s="5" t="s">
        <v>18</v>
      </c>
      <c r="B25" s="9">
        <v>2408.67</v>
      </c>
      <c r="C25" s="9">
        <v>2678.86</v>
      </c>
      <c r="D25" s="9">
        <v>1481.77</v>
      </c>
    </row>
    <row r="26" spans="1:7" outlineLevel="2" x14ac:dyDescent="0.3">
      <c r="A26" s="5" t="s">
        <v>19</v>
      </c>
      <c r="B26" s="8"/>
      <c r="C26" s="8"/>
      <c r="D26" s="9">
        <v>1000</v>
      </c>
    </row>
    <row r="27" spans="1:7" outlineLevel="1" x14ac:dyDescent="0.3">
      <c r="A27" s="6" t="s">
        <v>20</v>
      </c>
      <c r="B27" s="10">
        <f>B24+B25+B26</f>
        <v>2408.67</v>
      </c>
      <c r="C27" s="10">
        <f>C24+C25+C26</f>
        <v>3403.65</v>
      </c>
      <c r="D27" s="10">
        <f>D24+D25+D26</f>
        <v>2481.77</v>
      </c>
      <c r="E27" s="16">
        <f>SUM(B27:D27)</f>
        <v>8294.09</v>
      </c>
      <c r="F27">
        <f>E27/E11</f>
        <v>8.277534930139721</v>
      </c>
    </row>
    <row r="28" spans="1:7" outlineLevel="1" x14ac:dyDescent="0.3">
      <c r="A28" s="3" t="s">
        <v>21</v>
      </c>
      <c r="B28" s="9">
        <v>1477.37</v>
      </c>
      <c r="C28" s="9">
        <v>1527.1</v>
      </c>
      <c r="D28" s="9">
        <v>1522.68</v>
      </c>
    </row>
    <row r="29" spans="1:7" outlineLevel="1" x14ac:dyDescent="0.3">
      <c r="A29" s="3" t="s">
        <v>22</v>
      </c>
      <c r="B29" s="9">
        <v>6309.89</v>
      </c>
      <c r="C29" s="9">
        <v>13313.09</v>
      </c>
      <c r="D29" s="9">
        <v>4164.28</v>
      </c>
      <c r="E29" s="16">
        <f>SUM(B29:D29)</f>
        <v>23787.26</v>
      </c>
      <c r="F29">
        <f>E29/E11</f>
        <v>23.739780439121756</v>
      </c>
    </row>
    <row r="30" spans="1:7" outlineLevel="1" x14ac:dyDescent="0.3">
      <c r="A30" s="3" t="s">
        <v>23</v>
      </c>
      <c r="B30" s="9">
        <v>13319</v>
      </c>
      <c r="C30" s="9">
        <v>18970</v>
      </c>
      <c r="D30" s="9">
        <v>14985</v>
      </c>
      <c r="E30" s="16">
        <f>SUM(B30:D30)</f>
        <v>47274</v>
      </c>
      <c r="F30">
        <f>E30/E11</f>
        <v>47.179640718562872</v>
      </c>
    </row>
    <row r="31" spans="1:7" outlineLevel="1" x14ac:dyDescent="0.3">
      <c r="A31" s="3" t="s">
        <v>24</v>
      </c>
      <c r="B31" s="9">
        <v>6171.96</v>
      </c>
      <c r="C31" s="9">
        <v>2965.12</v>
      </c>
      <c r="D31" s="9">
        <v>715.52</v>
      </c>
    </row>
    <row r="32" spans="1:7" outlineLevel="1" x14ac:dyDescent="0.3">
      <c r="A32" s="3" t="s">
        <v>25</v>
      </c>
      <c r="B32" s="8"/>
      <c r="C32" s="9">
        <v>4000</v>
      </c>
      <c r="D32" s="8"/>
    </row>
    <row r="33" spans="1:6" outlineLevel="1" x14ac:dyDescent="0.3">
      <c r="A33" s="3" t="s">
        <v>26</v>
      </c>
      <c r="B33" s="9">
        <v>5636.44</v>
      </c>
      <c r="C33" s="9">
        <v>5636.44</v>
      </c>
      <c r="D33" s="8"/>
    </row>
    <row r="34" spans="1:6" outlineLevel="1" x14ac:dyDescent="0.3">
      <c r="A34" s="3" t="s">
        <v>27</v>
      </c>
      <c r="B34" s="9">
        <v>577</v>
      </c>
      <c r="C34" s="9">
        <v>795.92</v>
      </c>
      <c r="D34" s="9">
        <v>906.66</v>
      </c>
    </row>
    <row r="35" spans="1:6" outlineLevel="1" x14ac:dyDescent="0.3">
      <c r="A35" s="3" t="s">
        <v>28</v>
      </c>
      <c r="B35" s="9">
        <v>44.99</v>
      </c>
      <c r="C35" s="9">
        <v>44.99</v>
      </c>
      <c r="D35" s="9">
        <v>44.99</v>
      </c>
    </row>
    <row r="36" spans="1:6" outlineLevel="1" x14ac:dyDescent="0.3">
      <c r="A36" s="3" t="s">
        <v>29</v>
      </c>
      <c r="B36" s="8"/>
      <c r="C36" s="8"/>
      <c r="D36" s="8"/>
    </row>
    <row r="37" spans="1:6" outlineLevel="2" x14ac:dyDescent="0.3">
      <c r="A37" s="5" t="s">
        <v>30</v>
      </c>
      <c r="B37" s="9">
        <v>1275</v>
      </c>
      <c r="C37" s="8"/>
      <c r="D37" s="8"/>
    </row>
    <row r="38" spans="1:6" outlineLevel="1" x14ac:dyDescent="0.3">
      <c r="A38" s="6" t="s">
        <v>31</v>
      </c>
      <c r="B38" s="10">
        <f>B36+B37</f>
        <v>1275</v>
      </c>
      <c r="C38" s="10"/>
      <c r="D38" s="10"/>
    </row>
    <row r="39" spans="1:6" outlineLevel="1" x14ac:dyDescent="0.3">
      <c r="A39" s="3" t="s">
        <v>32</v>
      </c>
      <c r="B39" s="8"/>
      <c r="C39" s="8"/>
      <c r="D39" s="9">
        <v>300</v>
      </c>
    </row>
    <row r="40" spans="1:6" outlineLevel="1" x14ac:dyDescent="0.3">
      <c r="A40" s="3" t="s">
        <v>33</v>
      </c>
      <c r="B40" s="9">
        <v>100</v>
      </c>
      <c r="C40" s="9">
        <v>175</v>
      </c>
      <c r="D40" s="8"/>
    </row>
    <row r="41" spans="1:6" outlineLevel="1" x14ac:dyDescent="0.3">
      <c r="A41" s="3" t="s">
        <v>34</v>
      </c>
      <c r="B41" s="8"/>
      <c r="C41" s="8"/>
      <c r="D41" s="9">
        <v>4636.4399999999996</v>
      </c>
    </row>
    <row r="42" spans="1:6" outlineLevel="1" x14ac:dyDescent="0.3">
      <c r="A42" s="3" t="s">
        <v>19</v>
      </c>
      <c r="B42" s="9">
        <v>150.91</v>
      </c>
      <c r="C42" s="8"/>
      <c r="D42" s="8"/>
    </row>
    <row r="43" spans="1:6" outlineLevel="1" x14ac:dyDescent="0.3">
      <c r="A43" s="3" t="s">
        <v>35</v>
      </c>
      <c r="B43" s="9">
        <v>0</v>
      </c>
      <c r="C43" s="9">
        <v>0</v>
      </c>
      <c r="D43" s="9">
        <v>0</v>
      </c>
    </row>
    <row r="44" spans="1:6" outlineLevel="1" x14ac:dyDescent="0.3">
      <c r="A44" s="3" t="s">
        <v>36</v>
      </c>
      <c r="B44" s="8"/>
      <c r="C44" s="9">
        <v>803.11</v>
      </c>
      <c r="D44" s="9">
        <v>32.340000000000003</v>
      </c>
    </row>
    <row r="45" spans="1:6" outlineLevel="1" x14ac:dyDescent="0.3">
      <c r="A45" s="3" t="s">
        <v>37</v>
      </c>
      <c r="B45" s="9">
        <v>85859.199999999997</v>
      </c>
      <c r="C45" s="9">
        <v>65995</v>
      </c>
      <c r="D45" s="9">
        <v>73828.86</v>
      </c>
      <c r="E45" s="16">
        <f>SUM(B45:D45)</f>
        <v>225683.06</v>
      </c>
      <c r="F45">
        <f>E45/E11</f>
        <v>225.23259481037923</v>
      </c>
    </row>
    <row r="46" spans="1:6" outlineLevel="1" x14ac:dyDescent="0.3">
      <c r="A46" s="3" t="s">
        <v>38</v>
      </c>
      <c r="B46" s="9">
        <v>918.6</v>
      </c>
      <c r="C46" s="8"/>
      <c r="D46" s="9">
        <v>183</v>
      </c>
    </row>
    <row r="47" spans="1:6" outlineLevel="1" x14ac:dyDescent="0.3">
      <c r="A47" s="3" t="s">
        <v>39</v>
      </c>
      <c r="B47" s="9">
        <v>1994.28</v>
      </c>
      <c r="C47" s="9">
        <v>2485.71</v>
      </c>
      <c r="D47" s="9">
        <v>1230.26</v>
      </c>
    </row>
    <row r="48" spans="1:6" x14ac:dyDescent="0.3">
      <c r="A48" s="4" t="s">
        <v>40</v>
      </c>
      <c r="B48" s="10">
        <f>B21+B22+B23+B27+B28+B29+B30+B31+B32+B33+B34+B35+B38+B39+B40+B41+B42+B43+B44+B45+B46+B47</f>
        <v>154172.55000000002</v>
      </c>
      <c r="C48" s="10">
        <f>C21+C22+C23+C27+C28+C29+C30+C31+C32+C33+C34+C35+C38+C39+C40+C41+C42+C43+C44+C45+C46+C47</f>
        <v>179194.34</v>
      </c>
      <c r="D48" s="10">
        <f>D21+D22+D23+D27+D28+D29+D30+D31+D32+D33+D34+D35+D38+D39+D40+D41+D42+D43+D44+D45+D46+D47</f>
        <v>154812.18</v>
      </c>
    </row>
    <row r="49" spans="1:4" x14ac:dyDescent="0.3">
      <c r="A49" s="4" t="s">
        <v>41</v>
      </c>
      <c r="B49" s="10">
        <f>B19-B48</f>
        <v>12318.75999999998</v>
      </c>
      <c r="C49" s="10">
        <f>C19-C48</f>
        <v>26100.489999999991</v>
      </c>
      <c r="D49" s="10">
        <f>D19-D48</f>
        <v>-1619.359999999986</v>
      </c>
    </row>
    <row r="50" spans="1:4" x14ac:dyDescent="0.3">
      <c r="A50" s="4" t="s">
        <v>42</v>
      </c>
      <c r="B50" s="11"/>
      <c r="C50" s="11"/>
      <c r="D50" s="11"/>
    </row>
    <row r="51" spans="1:4" x14ac:dyDescent="0.3">
      <c r="A51" s="4" t="s">
        <v>43</v>
      </c>
      <c r="B51" s="10">
        <v>12318.75999999998</v>
      </c>
      <c r="C51" s="10">
        <v>26100.489999999991</v>
      </c>
      <c r="D51" s="10">
        <v>-1619.359999999986</v>
      </c>
    </row>
    <row r="55" spans="1:4" x14ac:dyDescent="0.3">
      <c r="A55" s="22" t="s">
        <v>48</v>
      </c>
      <c r="B55" s="19"/>
      <c r="C55" s="19"/>
      <c r="D55" s="19"/>
    </row>
  </sheetData>
  <mergeCells count="4">
    <mergeCell ref="A1:D1"/>
    <mergeCell ref="A2:D2"/>
    <mergeCell ref="A3:D3"/>
    <mergeCell ref="A55:D5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5509-8722-44AB-B9DF-735BAC24B39D}">
  <sheetPr>
    <pageSetUpPr fitToPage="1"/>
  </sheetPr>
  <dimension ref="A1:N40"/>
  <sheetViews>
    <sheetView tabSelected="1" view="pageLayout" zoomScaleNormal="100" workbookViewId="0">
      <selection activeCell="G43" sqref="G43"/>
    </sheetView>
  </sheetViews>
  <sheetFormatPr defaultRowHeight="15.6" x14ac:dyDescent="0.3"/>
  <cols>
    <col min="1" max="1" width="25.5" style="1" customWidth="1"/>
    <col min="2" max="9" width="11.19921875" bestFit="1" customWidth="1"/>
    <col min="10" max="10" width="9.796875" customWidth="1"/>
    <col min="11" max="11" width="11.19921875" bestFit="1" customWidth="1"/>
    <col min="12" max="12" width="9.3984375" customWidth="1"/>
    <col min="13" max="13" width="11.19921875" bestFit="1" customWidth="1"/>
    <col min="14" max="14" width="12.59765625" bestFit="1" customWidth="1"/>
  </cols>
  <sheetData>
    <row r="1" spans="1:14" x14ac:dyDescent="0.3">
      <c r="A1"/>
    </row>
    <row r="2" spans="1:14" x14ac:dyDescent="0.3">
      <c r="A2"/>
    </row>
    <row r="3" spans="1:14" x14ac:dyDescent="0.3">
      <c r="A3"/>
    </row>
    <row r="4" spans="1:14" x14ac:dyDescent="0.3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>
        <v>2026</v>
      </c>
    </row>
    <row r="5" spans="1:14" x14ac:dyDescent="0.3">
      <c r="A5" s="7" t="s">
        <v>44</v>
      </c>
      <c r="B5" s="13" t="s">
        <v>50</v>
      </c>
      <c r="C5" s="13" t="s">
        <v>51</v>
      </c>
      <c r="D5" s="13" t="s">
        <v>52</v>
      </c>
      <c r="E5" s="13" t="s">
        <v>53</v>
      </c>
      <c r="F5" s="13" t="s">
        <v>54</v>
      </c>
      <c r="G5" s="13" t="s">
        <v>55</v>
      </c>
      <c r="H5" s="13" t="s">
        <v>56</v>
      </c>
      <c r="I5" s="13" t="s">
        <v>57</v>
      </c>
      <c r="J5" s="13" t="s">
        <v>58</v>
      </c>
      <c r="K5" s="13" t="s">
        <v>59</v>
      </c>
      <c r="L5" s="13" t="s">
        <v>60</v>
      </c>
      <c r="M5" s="13" t="s">
        <v>61</v>
      </c>
      <c r="N5" s="13" t="s">
        <v>62</v>
      </c>
    </row>
    <row r="6" spans="1:14" x14ac:dyDescent="0.3">
      <c r="A6" s="3"/>
    </row>
    <row r="7" spans="1:14" x14ac:dyDescent="0.3">
      <c r="A7" s="4" t="s">
        <v>7</v>
      </c>
      <c r="B7" s="24">
        <f>B8*755</f>
        <v>264250</v>
      </c>
      <c r="C7" s="24">
        <f t="shared" ref="C7:M7" si="0">C8*755</f>
        <v>249150</v>
      </c>
      <c r="D7" s="24">
        <f t="shared" si="0"/>
        <v>271800</v>
      </c>
      <c r="E7" s="24">
        <f t="shared" si="0"/>
        <v>271800</v>
      </c>
      <c r="F7" s="24">
        <f t="shared" si="0"/>
        <v>294450</v>
      </c>
      <c r="G7" s="24">
        <f t="shared" si="0"/>
        <v>313325</v>
      </c>
      <c r="H7" s="24">
        <f t="shared" si="0"/>
        <v>317100</v>
      </c>
      <c r="I7" s="24">
        <f t="shared" si="0"/>
        <v>317100</v>
      </c>
      <c r="J7" s="24">
        <f t="shared" si="0"/>
        <v>302000</v>
      </c>
      <c r="K7" s="24">
        <f t="shared" si="0"/>
        <v>302000</v>
      </c>
      <c r="L7" s="24">
        <f t="shared" si="0"/>
        <v>294450</v>
      </c>
      <c r="M7" s="24">
        <f t="shared" si="0"/>
        <v>279350</v>
      </c>
      <c r="N7" s="24">
        <f>SUM(B7:M7)</f>
        <v>3476775</v>
      </c>
    </row>
    <row r="8" spans="1:14" x14ac:dyDescent="0.3">
      <c r="A8" s="4" t="s">
        <v>49</v>
      </c>
      <c r="B8" s="24">
        <v>350</v>
      </c>
      <c r="C8" s="24">
        <v>330</v>
      </c>
      <c r="D8" s="24">
        <v>360</v>
      </c>
      <c r="E8" s="24">
        <v>360</v>
      </c>
      <c r="F8" s="24">
        <v>390</v>
      </c>
      <c r="G8" s="24">
        <v>415</v>
      </c>
      <c r="H8" s="24">
        <v>420</v>
      </c>
      <c r="I8" s="24">
        <v>420</v>
      </c>
      <c r="J8" s="24">
        <v>400</v>
      </c>
      <c r="K8" s="24">
        <v>400</v>
      </c>
      <c r="L8" s="24">
        <v>390</v>
      </c>
      <c r="M8" s="24">
        <v>370</v>
      </c>
      <c r="N8" s="24">
        <f t="shared" ref="N8:N34" si="1">SUM(B8:M8)</f>
        <v>4605</v>
      </c>
    </row>
    <row r="9" spans="1:14" x14ac:dyDescent="0.3">
      <c r="A9" s="6" t="s">
        <v>11</v>
      </c>
      <c r="B9" s="24">
        <f>B7*0.28</f>
        <v>73990</v>
      </c>
      <c r="C9" s="24">
        <f t="shared" ref="C9:M9" si="2">C7*0.28</f>
        <v>69762</v>
      </c>
      <c r="D9" s="24">
        <f t="shared" si="2"/>
        <v>76104</v>
      </c>
      <c r="E9" s="24">
        <f t="shared" si="2"/>
        <v>76104</v>
      </c>
      <c r="F9" s="24">
        <f t="shared" si="2"/>
        <v>82446.000000000015</v>
      </c>
      <c r="G9" s="24">
        <f t="shared" si="2"/>
        <v>87731.000000000015</v>
      </c>
      <c r="H9" s="24">
        <f t="shared" si="2"/>
        <v>88788.000000000015</v>
      </c>
      <c r="I9" s="24">
        <f t="shared" si="2"/>
        <v>88788.000000000015</v>
      </c>
      <c r="J9" s="24">
        <f t="shared" si="2"/>
        <v>84560.000000000015</v>
      </c>
      <c r="K9" s="24">
        <f t="shared" si="2"/>
        <v>84560.000000000015</v>
      </c>
      <c r="L9" s="24">
        <f t="shared" si="2"/>
        <v>82446.000000000015</v>
      </c>
      <c r="M9" s="24">
        <f t="shared" si="2"/>
        <v>78218.000000000015</v>
      </c>
      <c r="N9" s="24">
        <f t="shared" si="1"/>
        <v>973497</v>
      </c>
    </row>
    <row r="10" spans="1:14" x14ac:dyDescent="0.3">
      <c r="A10" s="4" t="s">
        <v>11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>
        <f t="shared" si="1"/>
        <v>0</v>
      </c>
    </row>
    <row r="11" spans="1:14" x14ac:dyDescent="0.3">
      <c r="A11" s="4" t="s">
        <v>12</v>
      </c>
      <c r="B11" s="24">
        <f t="shared" ref="B11:M11" si="3">B7-B9</f>
        <v>190260</v>
      </c>
      <c r="C11" s="24">
        <f t="shared" si="3"/>
        <v>179388</v>
      </c>
      <c r="D11" s="24">
        <f t="shared" si="3"/>
        <v>195696</v>
      </c>
      <c r="E11" s="24">
        <f t="shared" si="3"/>
        <v>195696</v>
      </c>
      <c r="F11" s="24">
        <f t="shared" si="3"/>
        <v>212004</v>
      </c>
      <c r="G11" s="24">
        <f t="shared" si="3"/>
        <v>225594</v>
      </c>
      <c r="H11" s="24">
        <f t="shared" si="3"/>
        <v>228312</v>
      </c>
      <c r="I11" s="24">
        <f t="shared" si="3"/>
        <v>228312</v>
      </c>
      <c r="J11" s="24">
        <f t="shared" si="3"/>
        <v>217440</v>
      </c>
      <c r="K11" s="24">
        <f t="shared" si="3"/>
        <v>217440</v>
      </c>
      <c r="L11" s="24">
        <f t="shared" si="3"/>
        <v>212004</v>
      </c>
      <c r="M11" s="24">
        <f t="shared" si="3"/>
        <v>201132</v>
      </c>
      <c r="N11" s="24">
        <f t="shared" si="1"/>
        <v>2503278</v>
      </c>
    </row>
    <row r="12" spans="1:14" x14ac:dyDescent="0.3">
      <c r="A12" s="2" t="s">
        <v>13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>
        <f t="shared" si="1"/>
        <v>0</v>
      </c>
    </row>
    <row r="13" spans="1:14" x14ac:dyDescent="0.3">
      <c r="A13" s="3" t="s">
        <v>14</v>
      </c>
      <c r="B13" s="24">
        <f>B8*140</f>
        <v>49000</v>
      </c>
      <c r="C13" s="24">
        <f t="shared" ref="C13:M13" si="4">C8*140</f>
        <v>46200</v>
      </c>
      <c r="D13" s="24">
        <f t="shared" si="4"/>
        <v>50400</v>
      </c>
      <c r="E13" s="24">
        <f t="shared" si="4"/>
        <v>50400</v>
      </c>
      <c r="F13" s="24">
        <f t="shared" si="4"/>
        <v>54600</v>
      </c>
      <c r="G13" s="24">
        <f t="shared" si="4"/>
        <v>58100</v>
      </c>
      <c r="H13" s="24">
        <f t="shared" si="4"/>
        <v>58800</v>
      </c>
      <c r="I13" s="24">
        <f t="shared" si="4"/>
        <v>58800</v>
      </c>
      <c r="J13" s="24">
        <f t="shared" si="4"/>
        <v>56000</v>
      </c>
      <c r="K13" s="24">
        <f t="shared" si="4"/>
        <v>56000</v>
      </c>
      <c r="L13" s="24">
        <f t="shared" si="4"/>
        <v>54600</v>
      </c>
      <c r="M13" s="24">
        <f t="shared" si="4"/>
        <v>51800</v>
      </c>
      <c r="N13" s="24">
        <f t="shared" si="1"/>
        <v>644700</v>
      </c>
    </row>
    <row r="14" spans="1:14" x14ac:dyDescent="0.3">
      <c r="A14" s="3" t="s">
        <v>16</v>
      </c>
      <c r="B14" s="24">
        <v>330</v>
      </c>
      <c r="C14" s="24">
        <v>330</v>
      </c>
      <c r="D14" s="24">
        <v>330</v>
      </c>
      <c r="E14" s="24">
        <v>330</v>
      </c>
      <c r="F14" s="24">
        <v>330</v>
      </c>
      <c r="G14" s="24">
        <v>330</v>
      </c>
      <c r="H14" s="24">
        <v>330</v>
      </c>
      <c r="I14" s="24">
        <v>330</v>
      </c>
      <c r="J14" s="24">
        <v>330</v>
      </c>
      <c r="K14" s="24">
        <v>330</v>
      </c>
      <c r="L14" s="24">
        <v>330</v>
      </c>
      <c r="M14" s="24">
        <v>330</v>
      </c>
      <c r="N14" s="24">
        <f t="shared" si="1"/>
        <v>3960</v>
      </c>
    </row>
    <row r="15" spans="1:14" x14ac:dyDescent="0.3">
      <c r="A15" s="6" t="s">
        <v>20</v>
      </c>
      <c r="B15" s="24">
        <f>9*B8</f>
        <v>3150</v>
      </c>
      <c r="C15" s="24">
        <f t="shared" ref="C15:M15" si="5">9*C8</f>
        <v>2970</v>
      </c>
      <c r="D15" s="24">
        <f t="shared" si="5"/>
        <v>3240</v>
      </c>
      <c r="E15" s="24">
        <f t="shared" si="5"/>
        <v>3240</v>
      </c>
      <c r="F15" s="24">
        <f t="shared" si="5"/>
        <v>3510</v>
      </c>
      <c r="G15" s="24">
        <f t="shared" si="5"/>
        <v>3735</v>
      </c>
      <c r="H15" s="24">
        <f t="shared" si="5"/>
        <v>3780</v>
      </c>
      <c r="I15" s="24">
        <f t="shared" si="5"/>
        <v>3780</v>
      </c>
      <c r="J15" s="24">
        <f t="shared" si="5"/>
        <v>3600</v>
      </c>
      <c r="K15" s="24">
        <f t="shared" si="5"/>
        <v>3600</v>
      </c>
      <c r="L15" s="24">
        <f t="shared" si="5"/>
        <v>3510</v>
      </c>
      <c r="M15" s="24">
        <f t="shared" si="5"/>
        <v>3330</v>
      </c>
      <c r="N15" s="24">
        <f t="shared" si="1"/>
        <v>41445</v>
      </c>
    </row>
    <row r="16" spans="1:14" x14ac:dyDescent="0.3">
      <c r="A16" s="3" t="s">
        <v>21</v>
      </c>
      <c r="B16" s="24">
        <v>1600</v>
      </c>
      <c r="C16" s="24">
        <v>1600</v>
      </c>
      <c r="D16" s="24">
        <v>1600</v>
      </c>
      <c r="E16" s="24">
        <v>1600</v>
      </c>
      <c r="F16" s="24">
        <v>1600</v>
      </c>
      <c r="G16" s="24">
        <v>1600</v>
      </c>
      <c r="H16" s="24">
        <v>1600</v>
      </c>
      <c r="I16" s="24">
        <v>1600</v>
      </c>
      <c r="J16" s="24">
        <v>1600</v>
      </c>
      <c r="K16" s="24">
        <v>1600</v>
      </c>
      <c r="L16" s="24">
        <v>1600</v>
      </c>
      <c r="M16" s="24">
        <v>1600</v>
      </c>
      <c r="N16" s="24">
        <f t="shared" si="1"/>
        <v>19200</v>
      </c>
    </row>
    <row r="17" spans="1:14" x14ac:dyDescent="0.3">
      <c r="A17" s="3" t="s">
        <v>22</v>
      </c>
      <c r="B17" s="24">
        <v>8000</v>
      </c>
      <c r="C17" s="24">
        <v>8000</v>
      </c>
      <c r="D17" s="24">
        <v>8000</v>
      </c>
      <c r="E17" s="24">
        <v>8000</v>
      </c>
      <c r="F17" s="24">
        <v>8000</v>
      </c>
      <c r="G17" s="24">
        <v>8000</v>
      </c>
      <c r="H17" s="24">
        <v>8000</v>
      </c>
      <c r="I17" s="24">
        <v>8000</v>
      </c>
      <c r="J17" s="24">
        <v>8000</v>
      </c>
      <c r="K17" s="24">
        <v>8000</v>
      </c>
      <c r="L17" s="24">
        <v>8000</v>
      </c>
      <c r="M17" s="24">
        <v>8000</v>
      </c>
      <c r="N17" s="24">
        <f t="shared" si="1"/>
        <v>96000</v>
      </c>
    </row>
    <row r="18" spans="1:14" x14ac:dyDescent="0.3">
      <c r="A18" s="3" t="s">
        <v>23</v>
      </c>
      <c r="B18" s="24">
        <f>40*B8</f>
        <v>14000</v>
      </c>
      <c r="C18" s="24">
        <f t="shared" ref="C18:M18" si="6">40*C8</f>
        <v>13200</v>
      </c>
      <c r="D18" s="24">
        <f t="shared" si="6"/>
        <v>14400</v>
      </c>
      <c r="E18" s="24">
        <f t="shared" si="6"/>
        <v>14400</v>
      </c>
      <c r="F18" s="24">
        <f t="shared" si="6"/>
        <v>15600</v>
      </c>
      <c r="G18" s="24">
        <f t="shared" si="6"/>
        <v>16600</v>
      </c>
      <c r="H18" s="24">
        <f t="shared" si="6"/>
        <v>16800</v>
      </c>
      <c r="I18" s="24">
        <f t="shared" si="6"/>
        <v>16800</v>
      </c>
      <c r="J18" s="24">
        <f t="shared" si="6"/>
        <v>16000</v>
      </c>
      <c r="K18" s="24">
        <f t="shared" si="6"/>
        <v>16000</v>
      </c>
      <c r="L18" s="24">
        <f t="shared" si="6"/>
        <v>15600</v>
      </c>
      <c r="M18" s="24">
        <f t="shared" si="6"/>
        <v>14800</v>
      </c>
      <c r="N18" s="24">
        <f t="shared" si="1"/>
        <v>184200</v>
      </c>
    </row>
    <row r="19" spans="1:14" x14ac:dyDescent="0.3">
      <c r="A19" s="3" t="s">
        <v>24</v>
      </c>
      <c r="B19" s="24">
        <v>3100</v>
      </c>
      <c r="C19" s="24">
        <v>3100</v>
      </c>
      <c r="D19" s="24">
        <v>3100</v>
      </c>
      <c r="E19" s="24">
        <v>3100</v>
      </c>
      <c r="F19" s="24">
        <v>3100</v>
      </c>
      <c r="G19" s="24">
        <v>3100</v>
      </c>
      <c r="H19" s="24">
        <v>3100</v>
      </c>
      <c r="I19" s="24">
        <v>3100</v>
      </c>
      <c r="J19" s="24">
        <v>3100</v>
      </c>
      <c r="K19" s="24">
        <v>3100</v>
      </c>
      <c r="L19" s="24">
        <v>3100</v>
      </c>
      <c r="M19" s="24">
        <v>3100</v>
      </c>
      <c r="N19" s="24">
        <f t="shared" si="1"/>
        <v>37200</v>
      </c>
    </row>
    <row r="20" spans="1:14" x14ac:dyDescent="0.3">
      <c r="A20" s="3" t="s">
        <v>25</v>
      </c>
      <c r="B20" s="24">
        <v>4000</v>
      </c>
      <c r="C20" s="24">
        <v>4000</v>
      </c>
      <c r="D20" s="24">
        <v>4000</v>
      </c>
      <c r="E20" s="24">
        <v>4000</v>
      </c>
      <c r="F20" s="24">
        <v>4000</v>
      </c>
      <c r="G20" s="24">
        <v>4000</v>
      </c>
      <c r="H20" s="24">
        <v>4000</v>
      </c>
      <c r="I20" s="24">
        <v>4000</v>
      </c>
      <c r="J20" s="24">
        <v>4000</v>
      </c>
      <c r="K20" s="24">
        <v>4000</v>
      </c>
      <c r="L20" s="24">
        <v>4000</v>
      </c>
      <c r="M20" s="24">
        <v>4000</v>
      </c>
      <c r="N20" s="24">
        <f t="shared" si="1"/>
        <v>48000</v>
      </c>
    </row>
    <row r="21" spans="1:14" x14ac:dyDescent="0.3">
      <c r="A21" s="3" t="s">
        <v>26</v>
      </c>
      <c r="B21" s="24">
        <v>5700</v>
      </c>
      <c r="C21" s="24">
        <v>5700</v>
      </c>
      <c r="D21" s="24">
        <v>5700</v>
      </c>
      <c r="E21" s="24">
        <v>5700</v>
      </c>
      <c r="F21" s="24">
        <v>5700</v>
      </c>
      <c r="G21" s="24">
        <v>5700</v>
      </c>
      <c r="H21" s="24">
        <v>5700</v>
      </c>
      <c r="I21" s="24">
        <v>5700</v>
      </c>
      <c r="J21" s="24">
        <v>5700</v>
      </c>
      <c r="K21" s="24">
        <v>5700</v>
      </c>
      <c r="L21" s="24">
        <v>5700</v>
      </c>
      <c r="M21" s="24">
        <v>5700</v>
      </c>
      <c r="N21" s="24">
        <f t="shared" si="1"/>
        <v>68400</v>
      </c>
    </row>
    <row r="22" spans="1:14" x14ac:dyDescent="0.3">
      <c r="A22" s="3" t="s">
        <v>27</v>
      </c>
      <c r="B22" s="24">
        <v>800</v>
      </c>
      <c r="C22" s="24">
        <v>800</v>
      </c>
      <c r="D22" s="24">
        <v>800</v>
      </c>
      <c r="E22" s="24">
        <v>800</v>
      </c>
      <c r="F22" s="24">
        <v>800</v>
      </c>
      <c r="G22" s="24">
        <v>800</v>
      </c>
      <c r="H22" s="24">
        <v>800</v>
      </c>
      <c r="I22" s="24">
        <v>800</v>
      </c>
      <c r="J22" s="24">
        <v>800</v>
      </c>
      <c r="K22" s="24">
        <v>800</v>
      </c>
      <c r="L22" s="24">
        <v>800</v>
      </c>
      <c r="M22" s="24">
        <v>800</v>
      </c>
      <c r="N22" s="24">
        <f t="shared" si="1"/>
        <v>9600</v>
      </c>
    </row>
    <row r="23" spans="1:14" x14ac:dyDescent="0.3">
      <c r="A23" s="3" t="s">
        <v>28</v>
      </c>
      <c r="B23" s="24">
        <v>45</v>
      </c>
      <c r="C23" s="24">
        <v>45</v>
      </c>
      <c r="D23" s="24">
        <v>45</v>
      </c>
      <c r="E23" s="24">
        <v>45</v>
      </c>
      <c r="F23" s="24">
        <v>45</v>
      </c>
      <c r="G23" s="24">
        <v>45</v>
      </c>
      <c r="H23" s="24">
        <v>45</v>
      </c>
      <c r="I23" s="24">
        <v>45</v>
      </c>
      <c r="J23" s="24">
        <v>45</v>
      </c>
      <c r="K23" s="24">
        <v>45</v>
      </c>
      <c r="L23" s="24">
        <v>45</v>
      </c>
      <c r="M23" s="24">
        <v>45</v>
      </c>
      <c r="N23" s="24">
        <f t="shared" si="1"/>
        <v>540</v>
      </c>
    </row>
    <row r="24" spans="1:14" x14ac:dyDescent="0.3">
      <c r="A24" s="3" t="s">
        <v>33</v>
      </c>
      <c r="B24" s="24">
        <v>200</v>
      </c>
      <c r="C24" s="24">
        <v>200</v>
      </c>
      <c r="D24" s="24">
        <v>200</v>
      </c>
      <c r="E24" s="24">
        <v>200</v>
      </c>
      <c r="F24" s="24">
        <v>200</v>
      </c>
      <c r="G24" s="24">
        <v>200</v>
      </c>
      <c r="H24" s="24">
        <v>200</v>
      </c>
      <c r="I24" s="24">
        <v>200</v>
      </c>
      <c r="J24" s="24">
        <v>200</v>
      </c>
      <c r="K24" s="24">
        <v>200</v>
      </c>
      <c r="L24" s="24">
        <v>200</v>
      </c>
      <c r="M24" s="24">
        <v>200</v>
      </c>
      <c r="N24" s="24">
        <f t="shared" si="1"/>
        <v>2400</v>
      </c>
    </row>
    <row r="25" spans="1:14" x14ac:dyDescent="0.3">
      <c r="A25" s="3" t="s">
        <v>19</v>
      </c>
      <c r="B25" s="24">
        <v>300</v>
      </c>
      <c r="C25" s="24">
        <v>300</v>
      </c>
      <c r="D25" s="24">
        <v>300</v>
      </c>
      <c r="E25" s="24">
        <v>300</v>
      </c>
      <c r="F25" s="24">
        <v>300</v>
      </c>
      <c r="G25" s="24">
        <v>300</v>
      </c>
      <c r="H25" s="24">
        <v>300</v>
      </c>
      <c r="I25" s="24">
        <v>300</v>
      </c>
      <c r="J25" s="24">
        <v>300</v>
      </c>
      <c r="K25" s="24">
        <v>300</v>
      </c>
      <c r="L25" s="24">
        <v>300</v>
      </c>
      <c r="M25" s="24">
        <v>300</v>
      </c>
      <c r="N25" s="24">
        <f t="shared" si="1"/>
        <v>3600</v>
      </c>
    </row>
    <row r="26" spans="1:14" x14ac:dyDescent="0.3">
      <c r="A26" s="3" t="s">
        <v>36</v>
      </c>
      <c r="B26" s="24">
        <v>400</v>
      </c>
      <c r="C26" s="24">
        <v>400</v>
      </c>
      <c r="D26" s="24">
        <v>400</v>
      </c>
      <c r="E26" s="24">
        <v>400</v>
      </c>
      <c r="F26" s="24">
        <v>400</v>
      </c>
      <c r="G26" s="24">
        <v>400</v>
      </c>
      <c r="H26" s="24">
        <v>400</v>
      </c>
      <c r="I26" s="24">
        <v>400</v>
      </c>
      <c r="J26" s="24">
        <v>400</v>
      </c>
      <c r="K26" s="24">
        <v>400</v>
      </c>
      <c r="L26" s="24">
        <v>400</v>
      </c>
      <c r="M26" s="24">
        <v>400</v>
      </c>
      <c r="N26" s="24">
        <f t="shared" si="1"/>
        <v>4800</v>
      </c>
    </row>
    <row r="27" spans="1:14" x14ac:dyDescent="0.3">
      <c r="A27" s="3" t="s">
        <v>37</v>
      </c>
      <c r="B27" s="24">
        <f>230*B8</f>
        <v>80500</v>
      </c>
      <c r="C27" s="24">
        <f t="shared" ref="C27:M27" si="7">230*C8</f>
        <v>75900</v>
      </c>
      <c r="D27" s="24">
        <f t="shared" si="7"/>
        <v>82800</v>
      </c>
      <c r="E27" s="24">
        <f t="shared" si="7"/>
        <v>82800</v>
      </c>
      <c r="F27" s="24">
        <f t="shared" si="7"/>
        <v>89700</v>
      </c>
      <c r="G27" s="24">
        <f t="shared" si="7"/>
        <v>95450</v>
      </c>
      <c r="H27" s="24">
        <f t="shared" si="7"/>
        <v>96600</v>
      </c>
      <c r="I27" s="24">
        <f t="shared" si="7"/>
        <v>96600</v>
      </c>
      <c r="J27" s="24">
        <f t="shared" si="7"/>
        <v>92000</v>
      </c>
      <c r="K27" s="24">
        <f t="shared" si="7"/>
        <v>92000</v>
      </c>
      <c r="L27" s="24">
        <f t="shared" si="7"/>
        <v>89700</v>
      </c>
      <c r="M27" s="24">
        <f t="shared" si="7"/>
        <v>85100</v>
      </c>
      <c r="N27" s="24">
        <f t="shared" si="1"/>
        <v>1059150</v>
      </c>
    </row>
    <row r="28" spans="1:14" x14ac:dyDescent="0.3">
      <c r="A28" s="3" t="s">
        <v>38</v>
      </c>
      <c r="B28" s="24">
        <f>B7*0.4*0.08</f>
        <v>8456</v>
      </c>
      <c r="C28" s="24">
        <f t="shared" ref="C28:M28" si="8">C7*0.4*0.08</f>
        <v>7972.8</v>
      </c>
      <c r="D28" s="24">
        <f t="shared" si="8"/>
        <v>8697.6</v>
      </c>
      <c r="E28" s="24">
        <f t="shared" si="8"/>
        <v>8697.6</v>
      </c>
      <c r="F28" s="24">
        <f t="shared" si="8"/>
        <v>9422.4</v>
      </c>
      <c r="G28" s="24">
        <f t="shared" si="8"/>
        <v>10026.4</v>
      </c>
      <c r="H28" s="24">
        <f t="shared" si="8"/>
        <v>10147.200000000001</v>
      </c>
      <c r="I28" s="24">
        <f t="shared" si="8"/>
        <v>10147.200000000001</v>
      </c>
      <c r="J28" s="24">
        <f t="shared" si="8"/>
        <v>9664</v>
      </c>
      <c r="K28" s="24">
        <f t="shared" si="8"/>
        <v>9664</v>
      </c>
      <c r="L28" s="24">
        <f t="shared" si="8"/>
        <v>9422.4</v>
      </c>
      <c r="M28" s="24">
        <f t="shared" si="8"/>
        <v>8939.2000000000007</v>
      </c>
      <c r="N28" s="24">
        <f t="shared" si="1"/>
        <v>111256.79999999999</v>
      </c>
    </row>
    <row r="29" spans="1:14" x14ac:dyDescent="0.3">
      <c r="A29" s="3" t="s">
        <v>39</v>
      </c>
      <c r="B29" s="25">
        <v>1400</v>
      </c>
      <c r="C29" s="25">
        <v>1400</v>
      </c>
      <c r="D29" s="25">
        <v>1300</v>
      </c>
      <c r="E29" s="25">
        <v>1300</v>
      </c>
      <c r="F29" s="25">
        <v>1500</v>
      </c>
      <c r="G29" s="25">
        <v>1800</v>
      </c>
      <c r="H29" s="25">
        <v>2100</v>
      </c>
      <c r="I29" s="25">
        <v>2300</v>
      </c>
      <c r="J29" s="25">
        <v>2100</v>
      </c>
      <c r="K29" s="25">
        <v>1800</v>
      </c>
      <c r="L29" s="25">
        <v>1500</v>
      </c>
      <c r="M29" s="25">
        <v>1400</v>
      </c>
      <c r="N29" s="25">
        <f t="shared" si="1"/>
        <v>19900</v>
      </c>
    </row>
    <row r="30" spans="1:14" x14ac:dyDescent="0.3">
      <c r="A30" s="4" t="s">
        <v>40</v>
      </c>
      <c r="B30" s="25">
        <f>SUM(B13:B29)</f>
        <v>180981</v>
      </c>
      <c r="C30" s="25">
        <f t="shared" ref="C30:M30" si="9">SUM(C13:C29)</f>
        <v>172117.8</v>
      </c>
      <c r="D30" s="25">
        <f t="shared" si="9"/>
        <v>185312.6</v>
      </c>
      <c r="E30" s="25">
        <f t="shared" si="9"/>
        <v>185312.6</v>
      </c>
      <c r="F30" s="25">
        <f t="shared" si="9"/>
        <v>198807.4</v>
      </c>
      <c r="G30" s="25">
        <f t="shared" si="9"/>
        <v>210186.4</v>
      </c>
      <c r="H30" s="25">
        <f t="shared" si="9"/>
        <v>212702.2</v>
      </c>
      <c r="I30" s="25">
        <f t="shared" si="9"/>
        <v>212902.2</v>
      </c>
      <c r="J30" s="25">
        <f t="shared" si="9"/>
        <v>203839</v>
      </c>
      <c r="K30" s="25">
        <f t="shared" si="9"/>
        <v>203539</v>
      </c>
      <c r="L30" s="25">
        <f t="shared" si="9"/>
        <v>198807.4</v>
      </c>
      <c r="M30" s="25">
        <f t="shared" si="9"/>
        <v>189844.2</v>
      </c>
      <c r="N30" s="25">
        <f t="shared" si="1"/>
        <v>2354351.8000000003</v>
      </c>
    </row>
    <row r="31" spans="1:14" x14ac:dyDescent="0.3">
      <c r="A31" s="4" t="s">
        <v>41</v>
      </c>
      <c r="B31" s="24">
        <f>B11-B30</f>
        <v>9279</v>
      </c>
      <c r="C31" s="24">
        <f t="shared" ref="C31:M31" si="10">C11-C30</f>
        <v>7270.2000000000116</v>
      </c>
      <c r="D31" s="24">
        <f t="shared" si="10"/>
        <v>10383.399999999994</v>
      </c>
      <c r="E31" s="24">
        <f t="shared" si="10"/>
        <v>10383.399999999994</v>
      </c>
      <c r="F31" s="24">
        <f t="shared" si="10"/>
        <v>13196.600000000006</v>
      </c>
      <c r="G31" s="24">
        <f t="shared" si="10"/>
        <v>15407.600000000006</v>
      </c>
      <c r="H31" s="24">
        <f t="shared" si="10"/>
        <v>15609.799999999988</v>
      </c>
      <c r="I31" s="24">
        <f t="shared" si="10"/>
        <v>15409.799999999988</v>
      </c>
      <c r="J31" s="24">
        <f t="shared" si="10"/>
        <v>13601</v>
      </c>
      <c r="K31" s="24">
        <f t="shared" si="10"/>
        <v>13901</v>
      </c>
      <c r="L31" s="24">
        <f t="shared" si="10"/>
        <v>13196.600000000006</v>
      </c>
      <c r="M31" s="24">
        <f t="shared" si="10"/>
        <v>11287.799999999988</v>
      </c>
      <c r="N31" s="24">
        <f t="shared" si="1"/>
        <v>148926.19999999998</v>
      </c>
    </row>
    <row r="32" spans="1:14" x14ac:dyDescent="0.3">
      <c r="A32" s="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x14ac:dyDescent="0.3">
      <c r="A33" s="3" t="s">
        <v>66</v>
      </c>
      <c r="B33" s="24">
        <f>593+820+580+911+1046+1511</f>
        <v>5461</v>
      </c>
      <c r="C33" s="24">
        <f t="shared" ref="C33:M33" si="11">593+820+580+911+1046+1511</f>
        <v>5461</v>
      </c>
      <c r="D33" s="24">
        <f t="shared" si="11"/>
        <v>5461</v>
      </c>
      <c r="E33" s="24">
        <f t="shared" si="11"/>
        <v>5461</v>
      </c>
      <c r="F33" s="24">
        <f t="shared" si="11"/>
        <v>5461</v>
      </c>
      <c r="G33" s="24">
        <f t="shared" si="11"/>
        <v>5461</v>
      </c>
      <c r="H33" s="24">
        <f t="shared" si="11"/>
        <v>5461</v>
      </c>
      <c r="I33" s="24">
        <f t="shared" si="11"/>
        <v>5461</v>
      </c>
      <c r="J33" s="24">
        <f t="shared" si="11"/>
        <v>5461</v>
      </c>
      <c r="K33" s="24">
        <f t="shared" si="11"/>
        <v>5461</v>
      </c>
      <c r="L33" s="24">
        <f t="shared" si="11"/>
        <v>5461</v>
      </c>
      <c r="M33" s="24">
        <f t="shared" si="11"/>
        <v>5461</v>
      </c>
      <c r="N33" s="24">
        <f t="shared" si="1"/>
        <v>65532</v>
      </c>
    </row>
    <row r="34" spans="1:14" x14ac:dyDescent="0.3">
      <c r="A34" s="3" t="s">
        <v>67</v>
      </c>
      <c r="B34" s="25">
        <v>2268</v>
      </c>
      <c r="C34" s="25">
        <v>2268</v>
      </c>
      <c r="D34" s="25">
        <v>2268</v>
      </c>
      <c r="E34" s="25">
        <v>2268</v>
      </c>
      <c r="F34" s="25">
        <v>2268</v>
      </c>
      <c r="G34" s="25">
        <v>2268</v>
      </c>
      <c r="H34" s="25">
        <v>2268</v>
      </c>
      <c r="I34" s="25">
        <v>2268</v>
      </c>
      <c r="J34" s="25">
        <v>2268</v>
      </c>
      <c r="K34" s="25">
        <v>2268</v>
      </c>
      <c r="L34" s="25">
        <v>2268</v>
      </c>
      <c r="M34" s="25">
        <v>2268</v>
      </c>
      <c r="N34" s="25">
        <f t="shared" si="1"/>
        <v>27216</v>
      </c>
    </row>
    <row r="35" spans="1:14" x14ac:dyDescent="0.3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x14ac:dyDescent="0.3">
      <c r="A36" s="1" t="s">
        <v>68</v>
      </c>
      <c r="B36" s="24">
        <f>B31-B33-B34</f>
        <v>1550</v>
      </c>
      <c r="C36" s="24">
        <f t="shared" ref="C36:N36" si="12">C31-C33-C34</f>
        <v>-458.79999999998836</v>
      </c>
      <c r="D36" s="24">
        <f t="shared" si="12"/>
        <v>2654.3999999999942</v>
      </c>
      <c r="E36" s="24">
        <f t="shared" si="12"/>
        <v>2654.3999999999942</v>
      </c>
      <c r="F36" s="24">
        <f t="shared" si="12"/>
        <v>5467.6000000000058</v>
      </c>
      <c r="G36" s="24">
        <f t="shared" si="12"/>
        <v>7678.6000000000058</v>
      </c>
      <c r="H36" s="24">
        <f t="shared" si="12"/>
        <v>7880.7999999999884</v>
      </c>
      <c r="I36" s="24">
        <f t="shared" si="12"/>
        <v>7680.7999999999884</v>
      </c>
      <c r="J36" s="24">
        <f t="shared" si="12"/>
        <v>5872</v>
      </c>
      <c r="K36" s="24">
        <f t="shared" si="12"/>
        <v>6172</v>
      </c>
      <c r="L36" s="24">
        <f t="shared" si="12"/>
        <v>5467.6000000000058</v>
      </c>
      <c r="M36" s="24">
        <f t="shared" si="12"/>
        <v>3558.7999999999884</v>
      </c>
      <c r="N36" s="24">
        <f t="shared" si="12"/>
        <v>56178.199999999983</v>
      </c>
    </row>
    <row r="37" spans="1:14" x14ac:dyDescent="0.3">
      <c r="A37"/>
    </row>
    <row r="38" spans="1:14" x14ac:dyDescent="0.3">
      <c r="A38" s="1" t="s">
        <v>72</v>
      </c>
      <c r="H38">
        <v>15000</v>
      </c>
      <c r="K38">
        <v>15000</v>
      </c>
      <c r="N38">
        <f>SUM(D38:M38)</f>
        <v>30000</v>
      </c>
    </row>
    <row r="39" spans="1:14" x14ac:dyDescent="0.3">
      <c r="A39" s="1" t="s">
        <v>73</v>
      </c>
      <c r="B39" s="17"/>
      <c r="C39" s="17"/>
      <c r="D39" s="17"/>
      <c r="E39" s="17"/>
      <c r="F39" s="17"/>
      <c r="G39" s="17">
        <v>6000</v>
      </c>
      <c r="H39" s="17"/>
      <c r="I39" s="17"/>
      <c r="J39" s="17">
        <v>6000</v>
      </c>
      <c r="K39" s="17"/>
      <c r="L39" s="17">
        <v>6000</v>
      </c>
      <c r="M39" s="17"/>
      <c r="N39" s="17">
        <f>SUM(D39:M39)</f>
        <v>18000</v>
      </c>
    </row>
    <row r="40" spans="1:14" x14ac:dyDescent="0.3">
      <c r="A40" s="1" t="s">
        <v>74</v>
      </c>
      <c r="B40" s="26">
        <f>B36-B38-B39</f>
        <v>1550</v>
      </c>
      <c r="C40" s="26">
        <f t="shared" ref="C40:N40" si="13">C36-C38-C39</f>
        <v>-458.79999999998836</v>
      </c>
      <c r="D40" s="26">
        <f t="shared" si="13"/>
        <v>2654.3999999999942</v>
      </c>
      <c r="E40" s="26">
        <f t="shared" si="13"/>
        <v>2654.3999999999942</v>
      </c>
      <c r="F40" s="26">
        <f t="shared" si="13"/>
        <v>5467.6000000000058</v>
      </c>
      <c r="G40" s="26">
        <f t="shared" si="13"/>
        <v>1678.6000000000058</v>
      </c>
      <c r="H40" s="26">
        <f t="shared" si="13"/>
        <v>-7119.2000000000116</v>
      </c>
      <c r="I40" s="26">
        <f t="shared" si="13"/>
        <v>7680.7999999999884</v>
      </c>
      <c r="J40" s="26">
        <f t="shared" si="13"/>
        <v>-128</v>
      </c>
      <c r="K40" s="26">
        <f t="shared" si="13"/>
        <v>-8828</v>
      </c>
      <c r="L40" s="26">
        <f t="shared" si="13"/>
        <v>-532.39999999999418</v>
      </c>
      <c r="M40" s="26">
        <f t="shared" si="13"/>
        <v>3558.7999999999884</v>
      </c>
      <c r="N40" s="26">
        <f t="shared" si="13"/>
        <v>8178.1999999999825</v>
      </c>
    </row>
  </sheetData>
  <pageMargins left="0.2" right="0" top="0.75" bottom="0.75" header="0.3" footer="0.3"/>
  <pageSetup scale="73" fitToHeight="0" orientation="landscape" horizontalDpi="0" verticalDpi="0" r:id="rId1"/>
  <headerFooter>
    <oddHeader>&amp;CAuto Glass 2020
Plan for 2026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549D-C8C6-494F-AF2A-30EA448CC350}">
  <sheetPr>
    <pageSetUpPr fitToPage="1"/>
  </sheetPr>
  <dimension ref="A1:N54"/>
  <sheetViews>
    <sheetView view="pageLayout" topLeftCell="A20" zoomScaleNormal="100" workbookViewId="0">
      <selection activeCell="K39" sqref="K39"/>
    </sheetView>
  </sheetViews>
  <sheetFormatPr defaultRowHeight="15.6" x14ac:dyDescent="0.3"/>
  <cols>
    <col min="1" max="1" width="25.5" style="1" customWidth="1"/>
    <col min="2" max="2" width="9.09765625" bestFit="1" customWidth="1"/>
  </cols>
  <sheetData>
    <row r="1" spans="1:14" x14ac:dyDescent="0.3">
      <c r="A1"/>
    </row>
    <row r="2" spans="1:14" x14ac:dyDescent="0.3">
      <c r="A2"/>
    </row>
    <row r="3" spans="1:14" x14ac:dyDescent="0.3">
      <c r="A3"/>
    </row>
    <row r="4" spans="1:14" x14ac:dyDescent="0.3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>
        <v>2027</v>
      </c>
    </row>
    <row r="5" spans="1:14" x14ac:dyDescent="0.3">
      <c r="A5" s="7" t="s">
        <v>44</v>
      </c>
      <c r="B5" s="13" t="s">
        <v>50</v>
      </c>
      <c r="C5" s="13" t="s">
        <v>51</v>
      </c>
      <c r="D5" s="13" t="s">
        <v>52</v>
      </c>
      <c r="E5" s="13" t="s">
        <v>53</v>
      </c>
      <c r="F5" s="13" t="s">
        <v>54</v>
      </c>
      <c r="G5" s="13" t="s">
        <v>55</v>
      </c>
      <c r="H5" s="13" t="s">
        <v>56</v>
      </c>
      <c r="I5" s="13" t="s">
        <v>57</v>
      </c>
      <c r="J5" s="13" t="s">
        <v>58</v>
      </c>
      <c r="K5" s="13" t="s">
        <v>59</v>
      </c>
      <c r="L5" s="13" t="s">
        <v>60</v>
      </c>
      <c r="M5" s="13" t="s">
        <v>61</v>
      </c>
      <c r="N5" s="13" t="s">
        <v>62</v>
      </c>
    </row>
    <row r="6" spans="1:14" x14ac:dyDescent="0.3">
      <c r="A6" s="3"/>
    </row>
    <row r="7" spans="1:14" x14ac:dyDescent="0.3">
      <c r="A7" s="4" t="s">
        <v>7</v>
      </c>
      <c r="B7">
        <f>B8*780</f>
        <v>296400</v>
      </c>
      <c r="C7">
        <f t="shared" ref="C7:M7" si="0">C8*780</f>
        <v>280800</v>
      </c>
      <c r="D7">
        <f t="shared" si="0"/>
        <v>319800</v>
      </c>
      <c r="E7">
        <f t="shared" si="0"/>
        <v>319800</v>
      </c>
      <c r="F7">
        <f t="shared" si="0"/>
        <v>335400</v>
      </c>
      <c r="G7">
        <f t="shared" si="0"/>
        <v>351000</v>
      </c>
      <c r="H7">
        <f t="shared" si="0"/>
        <v>358800</v>
      </c>
      <c r="I7">
        <f t="shared" si="0"/>
        <v>366600</v>
      </c>
      <c r="J7">
        <f t="shared" si="0"/>
        <v>343200</v>
      </c>
      <c r="K7">
        <f t="shared" si="0"/>
        <v>335400</v>
      </c>
      <c r="L7">
        <f t="shared" si="0"/>
        <v>319800</v>
      </c>
      <c r="M7">
        <f t="shared" si="0"/>
        <v>312000</v>
      </c>
      <c r="N7">
        <f>SUM(B7:M7)</f>
        <v>3939000</v>
      </c>
    </row>
    <row r="8" spans="1:14" x14ac:dyDescent="0.3">
      <c r="A8" s="4" t="s">
        <v>49</v>
      </c>
      <c r="B8">
        <v>380</v>
      </c>
      <c r="C8">
        <v>360</v>
      </c>
      <c r="D8">
        <v>410</v>
      </c>
      <c r="E8">
        <v>410</v>
      </c>
      <c r="F8">
        <v>430</v>
      </c>
      <c r="G8">
        <v>450</v>
      </c>
      <c r="H8">
        <v>460</v>
      </c>
      <c r="I8">
        <v>470</v>
      </c>
      <c r="J8">
        <v>440</v>
      </c>
      <c r="K8">
        <v>430</v>
      </c>
      <c r="L8">
        <v>410</v>
      </c>
      <c r="M8">
        <v>400</v>
      </c>
      <c r="N8">
        <f t="shared" ref="N8:N31" si="1">SUM(B8:M8)</f>
        <v>5050</v>
      </c>
    </row>
    <row r="9" spans="1:14" x14ac:dyDescent="0.3">
      <c r="A9" s="6" t="s">
        <v>11</v>
      </c>
      <c r="B9">
        <f>B7*0.28</f>
        <v>82992.000000000015</v>
      </c>
      <c r="C9">
        <f t="shared" ref="C9:M9" si="2">C7*0.28</f>
        <v>78624.000000000015</v>
      </c>
      <c r="D9">
        <f t="shared" si="2"/>
        <v>89544.000000000015</v>
      </c>
      <c r="E9">
        <f t="shared" si="2"/>
        <v>89544.000000000015</v>
      </c>
      <c r="F9">
        <f t="shared" si="2"/>
        <v>93912.000000000015</v>
      </c>
      <c r="G9">
        <f t="shared" si="2"/>
        <v>98280.000000000015</v>
      </c>
      <c r="H9">
        <f t="shared" si="2"/>
        <v>100464.00000000001</v>
      </c>
      <c r="I9">
        <f t="shared" si="2"/>
        <v>102648.00000000001</v>
      </c>
      <c r="J9">
        <f t="shared" si="2"/>
        <v>96096.000000000015</v>
      </c>
      <c r="K9">
        <f t="shared" si="2"/>
        <v>93912.000000000015</v>
      </c>
      <c r="L9">
        <f t="shared" si="2"/>
        <v>89544.000000000015</v>
      </c>
      <c r="M9">
        <f t="shared" si="2"/>
        <v>87360.000000000015</v>
      </c>
      <c r="N9">
        <f t="shared" si="1"/>
        <v>1102920.0000000002</v>
      </c>
    </row>
    <row r="10" spans="1:14" x14ac:dyDescent="0.3">
      <c r="A10" s="4" t="s">
        <v>11</v>
      </c>
      <c r="N10">
        <f t="shared" si="1"/>
        <v>0</v>
      </c>
    </row>
    <row r="11" spans="1:14" x14ac:dyDescent="0.3">
      <c r="A11" s="4" t="s">
        <v>12</v>
      </c>
      <c r="B11">
        <f t="shared" ref="B11:M11" si="3">B7-B9</f>
        <v>213408</v>
      </c>
      <c r="C11">
        <f t="shared" si="3"/>
        <v>202176</v>
      </c>
      <c r="D11">
        <f t="shared" si="3"/>
        <v>230256</v>
      </c>
      <c r="E11">
        <f t="shared" si="3"/>
        <v>230256</v>
      </c>
      <c r="F11">
        <f t="shared" si="3"/>
        <v>241488</v>
      </c>
      <c r="G11">
        <f t="shared" si="3"/>
        <v>252720</v>
      </c>
      <c r="H11">
        <f t="shared" si="3"/>
        <v>258336</v>
      </c>
      <c r="I11">
        <f t="shared" si="3"/>
        <v>263952</v>
      </c>
      <c r="J11">
        <f t="shared" si="3"/>
        <v>247104</v>
      </c>
      <c r="K11">
        <f t="shared" si="3"/>
        <v>241488</v>
      </c>
      <c r="L11">
        <f t="shared" si="3"/>
        <v>230256</v>
      </c>
      <c r="M11">
        <f t="shared" si="3"/>
        <v>224640</v>
      </c>
      <c r="N11">
        <f t="shared" si="1"/>
        <v>2836080</v>
      </c>
    </row>
    <row r="12" spans="1:14" x14ac:dyDescent="0.3">
      <c r="A12" s="2" t="s">
        <v>13</v>
      </c>
      <c r="N12">
        <f t="shared" si="1"/>
        <v>0</v>
      </c>
    </row>
    <row r="13" spans="1:14" x14ac:dyDescent="0.3">
      <c r="A13" s="3" t="s">
        <v>14</v>
      </c>
      <c r="B13">
        <f>B8*140</f>
        <v>53200</v>
      </c>
      <c r="C13">
        <f t="shared" ref="C13:M13" si="4">C8*140</f>
        <v>50400</v>
      </c>
      <c r="D13">
        <f t="shared" si="4"/>
        <v>57400</v>
      </c>
      <c r="E13">
        <f t="shared" si="4"/>
        <v>57400</v>
      </c>
      <c r="F13">
        <f t="shared" si="4"/>
        <v>60200</v>
      </c>
      <c r="G13">
        <f t="shared" si="4"/>
        <v>63000</v>
      </c>
      <c r="H13">
        <f t="shared" si="4"/>
        <v>64400</v>
      </c>
      <c r="I13">
        <f t="shared" si="4"/>
        <v>65800</v>
      </c>
      <c r="J13">
        <f t="shared" si="4"/>
        <v>61600</v>
      </c>
      <c r="K13">
        <f t="shared" si="4"/>
        <v>60200</v>
      </c>
      <c r="L13">
        <f t="shared" si="4"/>
        <v>57400</v>
      </c>
      <c r="M13">
        <f t="shared" si="4"/>
        <v>56000</v>
      </c>
      <c r="N13">
        <f t="shared" si="1"/>
        <v>707000</v>
      </c>
    </row>
    <row r="14" spans="1:14" x14ac:dyDescent="0.3">
      <c r="A14" s="3" t="s">
        <v>16</v>
      </c>
      <c r="B14">
        <v>330</v>
      </c>
      <c r="C14">
        <v>330</v>
      </c>
      <c r="D14">
        <v>330</v>
      </c>
      <c r="E14">
        <v>330</v>
      </c>
      <c r="F14">
        <v>330</v>
      </c>
      <c r="G14">
        <v>330</v>
      </c>
      <c r="H14">
        <v>330</v>
      </c>
      <c r="I14">
        <v>330</v>
      </c>
      <c r="J14">
        <v>330</v>
      </c>
      <c r="K14">
        <v>330</v>
      </c>
      <c r="L14">
        <v>330</v>
      </c>
      <c r="M14">
        <v>330</v>
      </c>
      <c r="N14">
        <f t="shared" si="1"/>
        <v>3960</v>
      </c>
    </row>
    <row r="15" spans="1:14" x14ac:dyDescent="0.3">
      <c r="A15" s="6" t="s">
        <v>20</v>
      </c>
      <c r="B15">
        <f>9*B8</f>
        <v>3420</v>
      </c>
      <c r="C15">
        <f t="shared" ref="C15:M15" si="5">9*C8</f>
        <v>3240</v>
      </c>
      <c r="D15">
        <f t="shared" si="5"/>
        <v>3690</v>
      </c>
      <c r="E15">
        <f t="shared" si="5"/>
        <v>3690</v>
      </c>
      <c r="F15">
        <f t="shared" si="5"/>
        <v>3870</v>
      </c>
      <c r="G15">
        <f t="shared" si="5"/>
        <v>4050</v>
      </c>
      <c r="H15">
        <f t="shared" si="5"/>
        <v>4140</v>
      </c>
      <c r="I15">
        <f t="shared" si="5"/>
        <v>4230</v>
      </c>
      <c r="J15">
        <f t="shared" si="5"/>
        <v>3960</v>
      </c>
      <c r="K15">
        <f t="shared" si="5"/>
        <v>3870</v>
      </c>
      <c r="L15">
        <f t="shared" si="5"/>
        <v>3690</v>
      </c>
      <c r="M15">
        <f t="shared" si="5"/>
        <v>3600</v>
      </c>
      <c r="N15">
        <f t="shared" si="1"/>
        <v>45450</v>
      </c>
    </row>
    <row r="16" spans="1:14" x14ac:dyDescent="0.3">
      <c r="A16" s="3" t="s">
        <v>21</v>
      </c>
      <c r="B16">
        <v>1600</v>
      </c>
      <c r="C16">
        <v>1600</v>
      </c>
      <c r="D16">
        <v>1600</v>
      </c>
      <c r="E16">
        <v>1600</v>
      </c>
      <c r="F16">
        <v>1600</v>
      </c>
      <c r="G16">
        <v>1600</v>
      </c>
      <c r="H16">
        <v>1600</v>
      </c>
      <c r="I16">
        <v>1600</v>
      </c>
      <c r="J16">
        <v>1600</v>
      </c>
      <c r="K16">
        <v>1600</v>
      </c>
      <c r="L16">
        <v>1600</v>
      </c>
      <c r="M16">
        <v>1600</v>
      </c>
      <c r="N16">
        <f t="shared" si="1"/>
        <v>19200</v>
      </c>
    </row>
    <row r="17" spans="1:14" x14ac:dyDescent="0.3">
      <c r="A17" s="3" t="s">
        <v>22</v>
      </c>
      <c r="B17">
        <v>8000</v>
      </c>
      <c r="C17">
        <v>8000</v>
      </c>
      <c r="D17">
        <v>8000</v>
      </c>
      <c r="E17">
        <v>8000</v>
      </c>
      <c r="F17">
        <v>8000</v>
      </c>
      <c r="G17">
        <v>8000</v>
      </c>
      <c r="H17">
        <v>8000</v>
      </c>
      <c r="I17">
        <v>8000</v>
      </c>
      <c r="J17">
        <v>8000</v>
      </c>
      <c r="K17">
        <v>8000</v>
      </c>
      <c r="L17">
        <v>8000</v>
      </c>
      <c r="M17">
        <v>8000</v>
      </c>
      <c r="N17">
        <f t="shared" si="1"/>
        <v>96000</v>
      </c>
    </row>
    <row r="18" spans="1:14" x14ac:dyDescent="0.3">
      <c r="A18" s="3" t="s">
        <v>23</v>
      </c>
      <c r="B18">
        <f>49*B8</f>
        <v>18620</v>
      </c>
      <c r="C18">
        <f t="shared" ref="C18:M18" si="6">49*C8</f>
        <v>17640</v>
      </c>
      <c r="D18">
        <f t="shared" si="6"/>
        <v>20090</v>
      </c>
      <c r="E18">
        <f t="shared" si="6"/>
        <v>20090</v>
      </c>
      <c r="F18">
        <f t="shared" si="6"/>
        <v>21070</v>
      </c>
      <c r="G18">
        <f t="shared" si="6"/>
        <v>22050</v>
      </c>
      <c r="H18">
        <f t="shared" si="6"/>
        <v>22540</v>
      </c>
      <c r="I18">
        <f t="shared" si="6"/>
        <v>23030</v>
      </c>
      <c r="J18">
        <f t="shared" si="6"/>
        <v>21560</v>
      </c>
      <c r="K18">
        <f t="shared" si="6"/>
        <v>21070</v>
      </c>
      <c r="L18">
        <f t="shared" si="6"/>
        <v>20090</v>
      </c>
      <c r="M18">
        <f t="shared" si="6"/>
        <v>19600</v>
      </c>
      <c r="N18">
        <f t="shared" si="1"/>
        <v>247450</v>
      </c>
    </row>
    <row r="19" spans="1:14" x14ac:dyDescent="0.3">
      <c r="A19" s="3" t="s">
        <v>24</v>
      </c>
      <c r="B19">
        <v>3100</v>
      </c>
      <c r="C19">
        <v>3100</v>
      </c>
      <c r="D19">
        <v>3100</v>
      </c>
      <c r="E19">
        <v>3100</v>
      </c>
      <c r="F19">
        <v>3100</v>
      </c>
      <c r="G19">
        <v>3100</v>
      </c>
      <c r="H19">
        <v>3100</v>
      </c>
      <c r="I19">
        <v>3100</v>
      </c>
      <c r="J19">
        <v>3100</v>
      </c>
      <c r="K19">
        <v>3100</v>
      </c>
      <c r="L19">
        <v>3100</v>
      </c>
      <c r="M19">
        <v>3100</v>
      </c>
      <c r="N19">
        <f t="shared" si="1"/>
        <v>37200</v>
      </c>
    </row>
    <row r="20" spans="1:14" x14ac:dyDescent="0.3">
      <c r="A20" s="3" t="s">
        <v>25</v>
      </c>
      <c r="B20">
        <v>4000</v>
      </c>
      <c r="C20">
        <v>4000</v>
      </c>
      <c r="D20">
        <v>4000</v>
      </c>
      <c r="E20">
        <v>4000</v>
      </c>
      <c r="F20">
        <v>4000</v>
      </c>
      <c r="G20">
        <v>4000</v>
      </c>
      <c r="H20">
        <v>4000</v>
      </c>
      <c r="I20">
        <v>4000</v>
      </c>
      <c r="J20">
        <v>4000</v>
      </c>
      <c r="K20">
        <v>4000</v>
      </c>
      <c r="L20">
        <v>4000</v>
      </c>
      <c r="M20">
        <v>4000</v>
      </c>
      <c r="N20">
        <f t="shared" si="1"/>
        <v>48000</v>
      </c>
    </row>
    <row r="21" spans="1:14" x14ac:dyDescent="0.3">
      <c r="A21" s="3" t="s">
        <v>26</v>
      </c>
      <c r="B21">
        <v>5700</v>
      </c>
      <c r="C21">
        <v>5700</v>
      </c>
      <c r="D21">
        <v>5700</v>
      </c>
      <c r="E21">
        <v>5700</v>
      </c>
      <c r="F21">
        <v>5700</v>
      </c>
      <c r="G21">
        <v>5700</v>
      </c>
      <c r="H21">
        <v>5700</v>
      </c>
      <c r="I21">
        <v>5700</v>
      </c>
      <c r="J21">
        <v>5700</v>
      </c>
      <c r="K21">
        <v>5700</v>
      </c>
      <c r="L21">
        <v>5700</v>
      </c>
      <c r="M21">
        <v>5700</v>
      </c>
      <c r="N21">
        <f t="shared" si="1"/>
        <v>68400</v>
      </c>
    </row>
    <row r="22" spans="1:14" x14ac:dyDescent="0.3">
      <c r="A22" s="3" t="s">
        <v>27</v>
      </c>
      <c r="B22">
        <v>800</v>
      </c>
      <c r="C22">
        <v>800</v>
      </c>
      <c r="D22">
        <v>800</v>
      </c>
      <c r="E22">
        <v>800</v>
      </c>
      <c r="F22">
        <v>800</v>
      </c>
      <c r="G22">
        <v>800</v>
      </c>
      <c r="H22">
        <v>800</v>
      </c>
      <c r="I22">
        <v>800</v>
      </c>
      <c r="J22">
        <v>800</v>
      </c>
      <c r="K22">
        <v>800</v>
      </c>
      <c r="L22">
        <v>800</v>
      </c>
      <c r="M22">
        <v>800</v>
      </c>
      <c r="N22">
        <f t="shared" si="1"/>
        <v>9600</v>
      </c>
    </row>
    <row r="23" spans="1:14" x14ac:dyDescent="0.3">
      <c r="A23" s="3" t="s">
        <v>28</v>
      </c>
      <c r="B23">
        <v>45</v>
      </c>
      <c r="C23">
        <v>45</v>
      </c>
      <c r="D23">
        <v>45</v>
      </c>
      <c r="E23">
        <v>45</v>
      </c>
      <c r="F23">
        <v>45</v>
      </c>
      <c r="G23">
        <v>45</v>
      </c>
      <c r="H23">
        <v>45</v>
      </c>
      <c r="I23">
        <v>45</v>
      </c>
      <c r="J23">
        <v>45</v>
      </c>
      <c r="K23">
        <v>45</v>
      </c>
      <c r="L23">
        <v>45</v>
      </c>
      <c r="M23">
        <v>45</v>
      </c>
      <c r="N23">
        <f t="shared" si="1"/>
        <v>540</v>
      </c>
    </row>
    <row r="24" spans="1:14" x14ac:dyDescent="0.3">
      <c r="A24" s="3" t="s">
        <v>33</v>
      </c>
      <c r="B24">
        <v>200</v>
      </c>
      <c r="C24">
        <v>200</v>
      </c>
      <c r="D24">
        <v>200</v>
      </c>
      <c r="E24">
        <v>200</v>
      </c>
      <c r="F24">
        <v>200</v>
      </c>
      <c r="G24">
        <v>200</v>
      </c>
      <c r="H24">
        <v>200</v>
      </c>
      <c r="I24">
        <v>200</v>
      </c>
      <c r="J24">
        <v>200</v>
      </c>
      <c r="K24">
        <v>200</v>
      </c>
      <c r="L24">
        <v>200</v>
      </c>
      <c r="M24">
        <v>200</v>
      </c>
      <c r="N24">
        <f t="shared" si="1"/>
        <v>2400</v>
      </c>
    </row>
    <row r="25" spans="1:14" x14ac:dyDescent="0.3">
      <c r="A25" s="3" t="s">
        <v>19</v>
      </c>
      <c r="B25">
        <v>300</v>
      </c>
      <c r="C25">
        <v>300</v>
      </c>
      <c r="D25">
        <v>300</v>
      </c>
      <c r="E25">
        <v>300</v>
      </c>
      <c r="F25">
        <v>300</v>
      </c>
      <c r="G25">
        <v>300</v>
      </c>
      <c r="H25">
        <v>300</v>
      </c>
      <c r="I25">
        <v>300</v>
      </c>
      <c r="J25">
        <v>300</v>
      </c>
      <c r="K25">
        <v>300</v>
      </c>
      <c r="L25">
        <v>300</v>
      </c>
      <c r="M25">
        <v>300</v>
      </c>
      <c r="N25">
        <f t="shared" si="1"/>
        <v>3600</v>
      </c>
    </row>
    <row r="26" spans="1:14" x14ac:dyDescent="0.3">
      <c r="A26" s="3" t="s">
        <v>36</v>
      </c>
      <c r="B26">
        <v>400</v>
      </c>
      <c r="C26">
        <v>400</v>
      </c>
      <c r="D26">
        <v>400</v>
      </c>
      <c r="E26">
        <v>400</v>
      </c>
      <c r="F26">
        <v>400</v>
      </c>
      <c r="G26">
        <v>400</v>
      </c>
      <c r="H26">
        <v>400</v>
      </c>
      <c r="I26">
        <v>400</v>
      </c>
      <c r="J26">
        <v>400</v>
      </c>
      <c r="K26">
        <v>400</v>
      </c>
      <c r="L26">
        <v>400</v>
      </c>
      <c r="M26">
        <v>400</v>
      </c>
      <c r="N26">
        <f t="shared" si="1"/>
        <v>4800</v>
      </c>
    </row>
    <row r="27" spans="1:14" x14ac:dyDescent="0.3">
      <c r="A27" s="3" t="s">
        <v>37</v>
      </c>
      <c r="B27">
        <f>240*B8</f>
        <v>91200</v>
      </c>
      <c r="C27">
        <f t="shared" ref="C27:M27" si="7">240*C8</f>
        <v>86400</v>
      </c>
      <c r="D27">
        <f t="shared" si="7"/>
        <v>98400</v>
      </c>
      <c r="E27">
        <f t="shared" si="7"/>
        <v>98400</v>
      </c>
      <c r="F27">
        <f t="shared" si="7"/>
        <v>103200</v>
      </c>
      <c r="G27">
        <f t="shared" si="7"/>
        <v>108000</v>
      </c>
      <c r="H27">
        <f t="shared" si="7"/>
        <v>110400</v>
      </c>
      <c r="I27">
        <f t="shared" si="7"/>
        <v>112800</v>
      </c>
      <c r="J27">
        <f t="shared" si="7"/>
        <v>105600</v>
      </c>
      <c r="K27">
        <f t="shared" si="7"/>
        <v>103200</v>
      </c>
      <c r="L27">
        <f t="shared" si="7"/>
        <v>98400</v>
      </c>
      <c r="M27">
        <f t="shared" si="7"/>
        <v>96000</v>
      </c>
      <c r="N27">
        <f t="shared" si="1"/>
        <v>1212000</v>
      </c>
    </row>
    <row r="28" spans="1:14" x14ac:dyDescent="0.3">
      <c r="A28" s="3" t="s">
        <v>38</v>
      </c>
      <c r="B28" s="24">
        <f>B7*0.4*0.08</f>
        <v>9484.8000000000011</v>
      </c>
      <c r="C28" s="24">
        <f t="shared" ref="C28:M28" si="8">C7*0.4*0.08</f>
        <v>8985.6</v>
      </c>
      <c r="D28" s="24">
        <f t="shared" si="8"/>
        <v>10233.6</v>
      </c>
      <c r="E28" s="24">
        <f t="shared" si="8"/>
        <v>10233.6</v>
      </c>
      <c r="F28" s="24">
        <f t="shared" si="8"/>
        <v>10732.800000000001</v>
      </c>
      <c r="G28" s="24">
        <f t="shared" si="8"/>
        <v>11232</v>
      </c>
      <c r="H28" s="24">
        <f t="shared" si="8"/>
        <v>11481.6</v>
      </c>
      <c r="I28" s="24">
        <f t="shared" si="8"/>
        <v>11731.2</v>
      </c>
      <c r="J28" s="24">
        <f t="shared" si="8"/>
        <v>10982.4</v>
      </c>
      <c r="K28" s="24">
        <f t="shared" si="8"/>
        <v>10732.800000000001</v>
      </c>
      <c r="L28" s="24">
        <f t="shared" si="8"/>
        <v>10233.6</v>
      </c>
      <c r="M28" s="24">
        <f t="shared" si="8"/>
        <v>9984</v>
      </c>
      <c r="N28">
        <f t="shared" si="1"/>
        <v>126048</v>
      </c>
    </row>
    <row r="29" spans="1:14" x14ac:dyDescent="0.3">
      <c r="A29" s="3" t="s">
        <v>39</v>
      </c>
      <c r="B29" s="17">
        <v>1500</v>
      </c>
      <c r="C29" s="17">
        <v>1500</v>
      </c>
      <c r="D29" s="17">
        <v>1400</v>
      </c>
      <c r="E29" s="17">
        <v>1400</v>
      </c>
      <c r="F29" s="17">
        <v>1600</v>
      </c>
      <c r="G29" s="17">
        <v>1900</v>
      </c>
      <c r="H29" s="17">
        <v>2200</v>
      </c>
      <c r="I29" s="17">
        <v>2400</v>
      </c>
      <c r="J29" s="17">
        <v>2200</v>
      </c>
      <c r="K29" s="17">
        <v>1900</v>
      </c>
      <c r="L29" s="17">
        <v>1600</v>
      </c>
      <c r="M29" s="17">
        <v>1500</v>
      </c>
      <c r="N29" s="17">
        <f t="shared" si="1"/>
        <v>21100</v>
      </c>
    </row>
    <row r="30" spans="1:14" x14ac:dyDescent="0.3">
      <c r="A30" s="4" t="s">
        <v>40</v>
      </c>
      <c r="B30" s="17">
        <f>SUM(B13:B29)</f>
        <v>201899.8</v>
      </c>
      <c r="C30" s="17">
        <f t="shared" ref="C30:M30" si="9">SUM(C13:C29)</f>
        <v>192640.6</v>
      </c>
      <c r="D30" s="17">
        <f t="shared" si="9"/>
        <v>215688.6</v>
      </c>
      <c r="E30" s="17">
        <f t="shared" si="9"/>
        <v>215688.6</v>
      </c>
      <c r="F30" s="17">
        <f t="shared" si="9"/>
        <v>225147.8</v>
      </c>
      <c r="G30" s="17">
        <f t="shared" si="9"/>
        <v>234707</v>
      </c>
      <c r="H30" s="17">
        <f t="shared" si="9"/>
        <v>239636.6</v>
      </c>
      <c r="I30" s="17">
        <f t="shared" si="9"/>
        <v>244466.2</v>
      </c>
      <c r="J30" s="17">
        <f t="shared" si="9"/>
        <v>230377.4</v>
      </c>
      <c r="K30" s="17">
        <f t="shared" si="9"/>
        <v>225447.8</v>
      </c>
      <c r="L30" s="17">
        <f t="shared" si="9"/>
        <v>215888.6</v>
      </c>
      <c r="M30" s="17">
        <f t="shared" si="9"/>
        <v>211159</v>
      </c>
      <c r="N30" s="17">
        <f t="shared" si="1"/>
        <v>2652748</v>
      </c>
    </row>
    <row r="31" spans="1:14" x14ac:dyDescent="0.3">
      <c r="A31" s="4" t="s">
        <v>41</v>
      </c>
      <c r="B31">
        <f>B11-B30</f>
        <v>11508.200000000012</v>
      </c>
      <c r="C31">
        <f t="shared" ref="C31:M31" si="10">C11-C30</f>
        <v>9535.3999999999942</v>
      </c>
      <c r="D31">
        <f t="shared" si="10"/>
        <v>14567.399999999994</v>
      </c>
      <c r="E31">
        <f t="shared" si="10"/>
        <v>14567.399999999994</v>
      </c>
      <c r="F31">
        <f t="shared" si="10"/>
        <v>16340.200000000012</v>
      </c>
      <c r="G31">
        <f t="shared" si="10"/>
        <v>18013</v>
      </c>
      <c r="H31">
        <f t="shared" si="10"/>
        <v>18699.399999999994</v>
      </c>
      <c r="I31">
        <f t="shared" si="10"/>
        <v>19485.799999999988</v>
      </c>
      <c r="J31">
        <f t="shared" si="10"/>
        <v>16726.600000000006</v>
      </c>
      <c r="K31">
        <f t="shared" si="10"/>
        <v>16040.200000000012</v>
      </c>
      <c r="L31">
        <f t="shared" si="10"/>
        <v>14367.399999999994</v>
      </c>
      <c r="M31">
        <f t="shared" si="10"/>
        <v>13481</v>
      </c>
      <c r="N31">
        <f t="shared" si="1"/>
        <v>183332</v>
      </c>
    </row>
    <row r="32" spans="1:14" x14ac:dyDescent="0.3">
      <c r="A32" s="3"/>
    </row>
    <row r="33" spans="1:14" x14ac:dyDescent="0.3">
      <c r="A33" s="3" t="s">
        <v>66</v>
      </c>
      <c r="B33">
        <f>593+820+580+911+1046+1511</f>
        <v>5461</v>
      </c>
      <c r="C33">
        <f t="shared" ref="C33:M33" si="11">593+820+580+911+1046+1511</f>
        <v>5461</v>
      </c>
      <c r="D33">
        <f t="shared" si="11"/>
        <v>5461</v>
      </c>
      <c r="E33">
        <f t="shared" si="11"/>
        <v>5461</v>
      </c>
      <c r="F33">
        <f t="shared" si="11"/>
        <v>5461</v>
      </c>
      <c r="G33">
        <f t="shared" si="11"/>
        <v>5461</v>
      </c>
      <c r="H33">
        <f t="shared" si="11"/>
        <v>5461</v>
      </c>
      <c r="I33">
        <f t="shared" si="11"/>
        <v>5461</v>
      </c>
      <c r="J33">
        <f t="shared" si="11"/>
        <v>5461</v>
      </c>
      <c r="K33">
        <f t="shared" si="11"/>
        <v>5461</v>
      </c>
      <c r="L33">
        <f t="shared" si="11"/>
        <v>5461</v>
      </c>
      <c r="M33">
        <f t="shared" si="11"/>
        <v>5461</v>
      </c>
      <c r="N33">
        <f>SUM(B33:M33)</f>
        <v>65532</v>
      </c>
    </row>
    <row r="34" spans="1:14" x14ac:dyDescent="0.3">
      <c r="A34" s="3" t="s">
        <v>67</v>
      </c>
      <c r="B34" s="17">
        <v>2268</v>
      </c>
      <c r="C34" s="17">
        <v>2268</v>
      </c>
      <c r="D34" s="17">
        <v>2268</v>
      </c>
      <c r="E34" s="17">
        <v>2268</v>
      </c>
      <c r="F34" s="17">
        <v>2268</v>
      </c>
      <c r="G34" s="17">
        <v>2268</v>
      </c>
      <c r="H34" s="17">
        <v>2268</v>
      </c>
      <c r="I34" s="17">
        <v>2268</v>
      </c>
      <c r="J34" s="17">
        <v>2268</v>
      </c>
      <c r="K34" s="17">
        <v>2268</v>
      </c>
      <c r="L34" s="17">
        <v>2268</v>
      </c>
      <c r="M34" s="17">
        <v>2268</v>
      </c>
      <c r="N34" s="17">
        <f>SUM(B34:M34)</f>
        <v>27216</v>
      </c>
    </row>
    <row r="35" spans="1:14" x14ac:dyDescent="0.3">
      <c r="A35" s="3"/>
    </row>
    <row r="36" spans="1:14" x14ac:dyDescent="0.3">
      <c r="A36" s="5" t="s">
        <v>69</v>
      </c>
      <c r="B36">
        <f>B31-B33-B34</f>
        <v>3779.2000000000116</v>
      </c>
      <c r="C36">
        <f t="shared" ref="C36:N36" si="12">C31-C33-C34</f>
        <v>1806.3999999999942</v>
      </c>
      <c r="D36">
        <f t="shared" si="12"/>
        <v>6838.3999999999942</v>
      </c>
      <c r="E36">
        <f t="shared" si="12"/>
        <v>6838.3999999999942</v>
      </c>
      <c r="F36">
        <f t="shared" si="12"/>
        <v>8611.2000000000116</v>
      </c>
      <c r="G36">
        <f t="shared" si="12"/>
        <v>10284</v>
      </c>
      <c r="H36">
        <f t="shared" si="12"/>
        <v>10970.399999999994</v>
      </c>
      <c r="I36">
        <f t="shared" si="12"/>
        <v>11756.799999999988</v>
      </c>
      <c r="J36">
        <f t="shared" si="12"/>
        <v>8997.6000000000058</v>
      </c>
      <c r="K36">
        <f t="shared" si="12"/>
        <v>8311.2000000000116</v>
      </c>
      <c r="L36">
        <f t="shared" si="12"/>
        <v>6638.3999999999942</v>
      </c>
      <c r="M36">
        <f t="shared" si="12"/>
        <v>5752</v>
      </c>
      <c r="N36">
        <f t="shared" si="12"/>
        <v>90584</v>
      </c>
    </row>
    <row r="37" spans="1:14" x14ac:dyDescent="0.3">
      <c r="A37" s="6"/>
    </row>
    <row r="38" spans="1:14" x14ac:dyDescent="0.3">
      <c r="A38" s="1" t="s">
        <v>72</v>
      </c>
      <c r="E38">
        <v>10000</v>
      </c>
      <c r="H38">
        <v>25000</v>
      </c>
      <c r="K38">
        <v>25000</v>
      </c>
      <c r="N38">
        <f>SUM(D38:M38)</f>
        <v>60000</v>
      </c>
    </row>
    <row r="39" spans="1:14" x14ac:dyDescent="0.3">
      <c r="A39" s="1" t="s">
        <v>73</v>
      </c>
      <c r="B39" s="17"/>
      <c r="C39" s="17"/>
      <c r="D39" s="17">
        <v>6000</v>
      </c>
      <c r="E39" s="17"/>
      <c r="F39" s="17"/>
      <c r="G39" s="17">
        <v>6000</v>
      </c>
      <c r="H39" s="17"/>
      <c r="I39" s="17"/>
      <c r="J39" s="17">
        <v>6000</v>
      </c>
      <c r="K39" s="17"/>
      <c r="L39" s="17">
        <v>6000</v>
      </c>
      <c r="M39" s="17"/>
      <c r="N39" s="17">
        <f>SUM(D39:M39)</f>
        <v>24000</v>
      </c>
    </row>
    <row r="40" spans="1:14" x14ac:dyDescent="0.3">
      <c r="A40" s="1" t="s">
        <v>74</v>
      </c>
      <c r="B40" s="26">
        <f>B36-B38-B39</f>
        <v>3779.2000000000116</v>
      </c>
      <c r="C40" s="26">
        <f t="shared" ref="C40:N40" si="13">C36-C38-C39</f>
        <v>1806.3999999999942</v>
      </c>
      <c r="D40" s="26">
        <f t="shared" si="13"/>
        <v>838.39999999999418</v>
      </c>
      <c r="E40" s="26">
        <f t="shared" si="13"/>
        <v>-3161.6000000000058</v>
      </c>
      <c r="F40" s="26">
        <f t="shared" si="13"/>
        <v>8611.2000000000116</v>
      </c>
      <c r="G40" s="26">
        <f t="shared" si="13"/>
        <v>4284</v>
      </c>
      <c r="H40" s="26">
        <f t="shared" si="13"/>
        <v>-14029.600000000006</v>
      </c>
      <c r="I40" s="26">
        <f t="shared" si="13"/>
        <v>11756.799999999988</v>
      </c>
      <c r="J40" s="26">
        <f t="shared" si="13"/>
        <v>2997.6000000000058</v>
      </c>
      <c r="K40" s="26">
        <f t="shared" si="13"/>
        <v>-16688.799999999988</v>
      </c>
      <c r="L40" s="26">
        <f t="shared" si="13"/>
        <v>638.39999999999418</v>
      </c>
      <c r="M40" s="26">
        <f t="shared" si="13"/>
        <v>5752</v>
      </c>
      <c r="N40" s="26">
        <f t="shared" si="13"/>
        <v>6584</v>
      </c>
    </row>
    <row r="41" spans="1:14" x14ac:dyDescent="0.3">
      <c r="A41" s="3"/>
    </row>
    <row r="42" spans="1:14" x14ac:dyDescent="0.3">
      <c r="A42" s="3"/>
    </row>
    <row r="43" spans="1:14" x14ac:dyDescent="0.3">
      <c r="A43" s="3"/>
    </row>
    <row r="44" spans="1:14" x14ac:dyDescent="0.3">
      <c r="A44" s="3"/>
    </row>
    <row r="45" spans="1:14" x14ac:dyDescent="0.3">
      <c r="A45" s="3"/>
    </row>
    <row r="46" spans="1:14" x14ac:dyDescent="0.3">
      <c r="A46" s="3"/>
    </row>
    <row r="47" spans="1:14" x14ac:dyDescent="0.3">
      <c r="A47" s="4"/>
    </row>
    <row r="48" spans="1:14" x14ac:dyDescent="0.3">
      <c r="A48" s="4"/>
    </row>
    <row r="49" spans="1:1" x14ac:dyDescent="0.3">
      <c r="A49" s="4"/>
    </row>
    <row r="50" spans="1:1" x14ac:dyDescent="0.3">
      <c r="A50" s="4"/>
    </row>
    <row r="54" spans="1:1" x14ac:dyDescent="0.3">
      <c r="A54"/>
    </row>
  </sheetData>
  <pageMargins left="0.2" right="0" top="0.75" bottom="0.75" header="0.3" footer="0.3"/>
  <pageSetup scale="89" fitToHeight="0" orientation="landscape" horizontalDpi="0" verticalDpi="0" r:id="rId1"/>
  <headerFooter>
    <oddHeader>&amp;CAuto Glass 2020
Plan for 2027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24A6-4C09-423C-9B81-2ED284E789BE}">
  <sheetPr>
    <pageSetUpPr fitToPage="1"/>
  </sheetPr>
  <dimension ref="A1:N54"/>
  <sheetViews>
    <sheetView view="pageLayout" topLeftCell="A13" zoomScaleNormal="100" workbookViewId="0">
      <selection activeCell="L39" sqref="L39"/>
    </sheetView>
  </sheetViews>
  <sheetFormatPr defaultRowHeight="15.6" x14ac:dyDescent="0.3"/>
  <cols>
    <col min="1" max="1" width="25.5" style="1" customWidth="1"/>
    <col min="2" max="9" width="11.09765625" bestFit="1" customWidth="1"/>
    <col min="10" max="10" width="11.19921875" customWidth="1"/>
    <col min="11" max="11" width="10.3984375" customWidth="1"/>
    <col min="12" max="12" width="10.69921875" customWidth="1"/>
    <col min="13" max="13" width="11.09765625" bestFit="1" customWidth="1"/>
    <col min="14" max="14" width="12.59765625" bestFit="1" customWidth="1"/>
  </cols>
  <sheetData>
    <row r="1" spans="1:14" x14ac:dyDescent="0.3">
      <c r="A1"/>
    </row>
    <row r="2" spans="1:14" x14ac:dyDescent="0.3">
      <c r="A2"/>
    </row>
    <row r="3" spans="1:14" x14ac:dyDescent="0.3">
      <c r="A3"/>
    </row>
    <row r="4" spans="1:14" x14ac:dyDescent="0.3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>
        <v>2028</v>
      </c>
    </row>
    <row r="5" spans="1:14" x14ac:dyDescent="0.3">
      <c r="A5" s="7" t="s">
        <v>44</v>
      </c>
      <c r="B5" s="13" t="s">
        <v>50</v>
      </c>
      <c r="C5" s="13" t="s">
        <v>51</v>
      </c>
      <c r="D5" s="13" t="s">
        <v>52</v>
      </c>
      <c r="E5" s="13" t="s">
        <v>53</v>
      </c>
      <c r="F5" s="13" t="s">
        <v>54</v>
      </c>
      <c r="G5" s="13" t="s">
        <v>55</v>
      </c>
      <c r="H5" s="13" t="s">
        <v>56</v>
      </c>
      <c r="I5" s="13" t="s">
        <v>57</v>
      </c>
      <c r="J5" s="13" t="s">
        <v>58</v>
      </c>
      <c r="K5" s="13" t="s">
        <v>59</v>
      </c>
      <c r="L5" s="13" t="s">
        <v>60</v>
      </c>
      <c r="M5" s="13" t="s">
        <v>61</v>
      </c>
      <c r="N5" s="13" t="s">
        <v>62</v>
      </c>
    </row>
    <row r="6" spans="1:14" x14ac:dyDescent="0.3">
      <c r="A6" s="3"/>
    </row>
    <row r="7" spans="1:14" x14ac:dyDescent="0.3">
      <c r="A7" s="4" t="s">
        <v>7</v>
      </c>
      <c r="B7" s="24">
        <f>B8*790</f>
        <v>316000</v>
      </c>
      <c r="C7" s="24">
        <f t="shared" ref="C7:M7" si="0">C8*790</f>
        <v>300200</v>
      </c>
      <c r="D7" s="24">
        <f t="shared" si="0"/>
        <v>339700</v>
      </c>
      <c r="E7" s="24">
        <f t="shared" si="0"/>
        <v>339700</v>
      </c>
      <c r="F7" s="24">
        <f t="shared" si="0"/>
        <v>355500</v>
      </c>
      <c r="G7" s="24">
        <f t="shared" si="0"/>
        <v>375250</v>
      </c>
      <c r="H7" s="24">
        <f t="shared" si="0"/>
        <v>371300</v>
      </c>
      <c r="I7" s="24">
        <f t="shared" si="0"/>
        <v>371300</v>
      </c>
      <c r="J7" s="24">
        <f t="shared" si="0"/>
        <v>367350</v>
      </c>
      <c r="K7" s="24">
        <f t="shared" si="0"/>
        <v>355500</v>
      </c>
      <c r="L7" s="24">
        <f t="shared" si="0"/>
        <v>339700</v>
      </c>
      <c r="M7" s="24">
        <f t="shared" si="0"/>
        <v>331800</v>
      </c>
      <c r="N7" s="24">
        <f>SUM(B7:M7)</f>
        <v>4163300</v>
      </c>
    </row>
    <row r="8" spans="1:14" x14ac:dyDescent="0.3">
      <c r="A8" s="4" t="s">
        <v>49</v>
      </c>
      <c r="B8" s="24">
        <v>400</v>
      </c>
      <c r="C8" s="24">
        <v>380</v>
      </c>
      <c r="D8" s="24">
        <v>430</v>
      </c>
      <c r="E8" s="24">
        <v>430</v>
      </c>
      <c r="F8" s="24">
        <v>450</v>
      </c>
      <c r="G8" s="24">
        <v>475</v>
      </c>
      <c r="H8" s="24">
        <v>470</v>
      </c>
      <c r="I8" s="24">
        <v>470</v>
      </c>
      <c r="J8" s="24">
        <v>465</v>
      </c>
      <c r="K8" s="24">
        <v>450</v>
      </c>
      <c r="L8" s="24">
        <v>430</v>
      </c>
      <c r="M8" s="24">
        <v>420</v>
      </c>
      <c r="N8" s="24">
        <f t="shared" ref="N8:N31" si="1">SUM(B8:M8)</f>
        <v>5270</v>
      </c>
    </row>
    <row r="9" spans="1:14" x14ac:dyDescent="0.3">
      <c r="A9" s="6" t="s">
        <v>11</v>
      </c>
      <c r="B9" s="24">
        <f>B7*0.28</f>
        <v>88480.000000000015</v>
      </c>
      <c r="C9" s="24">
        <f t="shared" ref="C9:M9" si="2">C7*0.28</f>
        <v>84056.000000000015</v>
      </c>
      <c r="D9" s="24">
        <f t="shared" si="2"/>
        <v>95116.000000000015</v>
      </c>
      <c r="E9" s="24">
        <f t="shared" si="2"/>
        <v>95116.000000000015</v>
      </c>
      <c r="F9" s="24">
        <f t="shared" si="2"/>
        <v>99540.000000000015</v>
      </c>
      <c r="G9" s="24">
        <f t="shared" si="2"/>
        <v>105070.00000000001</v>
      </c>
      <c r="H9" s="24">
        <f t="shared" si="2"/>
        <v>103964.00000000001</v>
      </c>
      <c r="I9" s="24">
        <f t="shared" si="2"/>
        <v>103964.00000000001</v>
      </c>
      <c r="J9" s="24">
        <f t="shared" si="2"/>
        <v>102858.00000000001</v>
      </c>
      <c r="K9" s="24">
        <f t="shared" si="2"/>
        <v>99540.000000000015</v>
      </c>
      <c r="L9" s="24">
        <f t="shared" si="2"/>
        <v>95116.000000000015</v>
      </c>
      <c r="M9" s="24">
        <f t="shared" si="2"/>
        <v>92904.000000000015</v>
      </c>
      <c r="N9" s="24">
        <f t="shared" si="1"/>
        <v>1165724.0000000002</v>
      </c>
    </row>
    <row r="10" spans="1:14" x14ac:dyDescent="0.3">
      <c r="A10" s="4" t="s">
        <v>11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>
        <f t="shared" si="1"/>
        <v>0</v>
      </c>
    </row>
    <row r="11" spans="1:14" x14ac:dyDescent="0.3">
      <c r="A11" s="4" t="s">
        <v>12</v>
      </c>
      <c r="B11" s="24">
        <f t="shared" ref="B11:M11" si="3">B7-B9</f>
        <v>227520</v>
      </c>
      <c r="C11" s="24">
        <f t="shared" si="3"/>
        <v>216144</v>
      </c>
      <c r="D11" s="24">
        <f t="shared" si="3"/>
        <v>244584</v>
      </c>
      <c r="E11" s="24">
        <f t="shared" si="3"/>
        <v>244584</v>
      </c>
      <c r="F11" s="24">
        <f t="shared" si="3"/>
        <v>255960</v>
      </c>
      <c r="G11" s="24">
        <f t="shared" si="3"/>
        <v>270180</v>
      </c>
      <c r="H11" s="24">
        <f t="shared" si="3"/>
        <v>267336</v>
      </c>
      <c r="I11" s="24">
        <f t="shared" si="3"/>
        <v>267336</v>
      </c>
      <c r="J11" s="24">
        <f t="shared" si="3"/>
        <v>264492</v>
      </c>
      <c r="K11" s="24">
        <f t="shared" si="3"/>
        <v>255960</v>
      </c>
      <c r="L11" s="24">
        <f t="shared" si="3"/>
        <v>244584</v>
      </c>
      <c r="M11" s="24">
        <f t="shared" si="3"/>
        <v>238896</v>
      </c>
      <c r="N11" s="24">
        <f t="shared" si="1"/>
        <v>2997576</v>
      </c>
    </row>
    <row r="12" spans="1:14" x14ac:dyDescent="0.3">
      <c r="A12" s="2" t="s">
        <v>13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>
        <f t="shared" si="1"/>
        <v>0</v>
      </c>
    </row>
    <row r="13" spans="1:14" x14ac:dyDescent="0.3">
      <c r="A13" s="3" t="s">
        <v>14</v>
      </c>
      <c r="B13" s="24">
        <f>B8*140</f>
        <v>56000</v>
      </c>
      <c r="C13" s="24">
        <f t="shared" ref="C13:M13" si="4">C8*140</f>
        <v>53200</v>
      </c>
      <c r="D13" s="24">
        <f t="shared" si="4"/>
        <v>60200</v>
      </c>
      <c r="E13" s="24">
        <f t="shared" si="4"/>
        <v>60200</v>
      </c>
      <c r="F13" s="24">
        <f t="shared" si="4"/>
        <v>63000</v>
      </c>
      <c r="G13" s="24">
        <f t="shared" si="4"/>
        <v>66500</v>
      </c>
      <c r="H13" s="24">
        <f t="shared" si="4"/>
        <v>65800</v>
      </c>
      <c r="I13" s="24">
        <f t="shared" si="4"/>
        <v>65800</v>
      </c>
      <c r="J13" s="24">
        <f t="shared" si="4"/>
        <v>65100</v>
      </c>
      <c r="K13" s="24">
        <f t="shared" si="4"/>
        <v>63000</v>
      </c>
      <c r="L13" s="24">
        <f t="shared" si="4"/>
        <v>60200</v>
      </c>
      <c r="M13" s="24">
        <f t="shared" si="4"/>
        <v>58800</v>
      </c>
      <c r="N13" s="24">
        <f t="shared" si="1"/>
        <v>737800</v>
      </c>
    </row>
    <row r="14" spans="1:14" x14ac:dyDescent="0.3">
      <c r="A14" s="3" t="s">
        <v>16</v>
      </c>
      <c r="B14" s="24">
        <v>330</v>
      </c>
      <c r="C14" s="24">
        <v>330</v>
      </c>
      <c r="D14" s="24">
        <v>330</v>
      </c>
      <c r="E14" s="24">
        <v>330</v>
      </c>
      <c r="F14" s="24">
        <v>330</v>
      </c>
      <c r="G14" s="24">
        <v>330</v>
      </c>
      <c r="H14" s="24">
        <v>330</v>
      </c>
      <c r="I14" s="24">
        <v>330</v>
      </c>
      <c r="J14" s="24">
        <v>330</v>
      </c>
      <c r="K14" s="24">
        <v>330</v>
      </c>
      <c r="L14" s="24">
        <v>330</v>
      </c>
      <c r="M14" s="24">
        <v>330</v>
      </c>
      <c r="N14" s="24">
        <f t="shared" si="1"/>
        <v>3960</v>
      </c>
    </row>
    <row r="15" spans="1:14" x14ac:dyDescent="0.3">
      <c r="A15" s="6" t="s">
        <v>20</v>
      </c>
      <c r="B15" s="24">
        <f>9*B8</f>
        <v>3600</v>
      </c>
      <c r="C15" s="24">
        <f t="shared" ref="C15:M15" si="5">9*C8</f>
        <v>3420</v>
      </c>
      <c r="D15" s="24">
        <f t="shared" si="5"/>
        <v>3870</v>
      </c>
      <c r="E15" s="24">
        <f t="shared" si="5"/>
        <v>3870</v>
      </c>
      <c r="F15" s="24">
        <f t="shared" si="5"/>
        <v>4050</v>
      </c>
      <c r="G15" s="24">
        <f t="shared" si="5"/>
        <v>4275</v>
      </c>
      <c r="H15" s="24">
        <f t="shared" si="5"/>
        <v>4230</v>
      </c>
      <c r="I15" s="24">
        <f t="shared" si="5"/>
        <v>4230</v>
      </c>
      <c r="J15" s="24">
        <f t="shared" si="5"/>
        <v>4185</v>
      </c>
      <c r="K15" s="24">
        <f t="shared" si="5"/>
        <v>4050</v>
      </c>
      <c r="L15" s="24">
        <f t="shared" si="5"/>
        <v>3870</v>
      </c>
      <c r="M15" s="24">
        <f t="shared" si="5"/>
        <v>3780</v>
      </c>
      <c r="N15" s="24">
        <f t="shared" si="1"/>
        <v>47430</v>
      </c>
    </row>
    <row r="16" spans="1:14" x14ac:dyDescent="0.3">
      <c r="A16" s="3" t="s">
        <v>21</v>
      </c>
      <c r="B16" s="24">
        <v>1600</v>
      </c>
      <c r="C16" s="24">
        <v>1600</v>
      </c>
      <c r="D16" s="24">
        <v>1600</v>
      </c>
      <c r="E16" s="24">
        <v>1600</v>
      </c>
      <c r="F16" s="24">
        <v>1600</v>
      </c>
      <c r="G16" s="24">
        <v>1600</v>
      </c>
      <c r="H16" s="24">
        <v>1600</v>
      </c>
      <c r="I16" s="24">
        <v>1600</v>
      </c>
      <c r="J16" s="24">
        <v>1600</v>
      </c>
      <c r="K16" s="24">
        <v>1600</v>
      </c>
      <c r="L16" s="24">
        <v>1600</v>
      </c>
      <c r="M16" s="24">
        <v>1600</v>
      </c>
      <c r="N16" s="24">
        <f t="shared" si="1"/>
        <v>19200</v>
      </c>
    </row>
    <row r="17" spans="1:14" x14ac:dyDescent="0.3">
      <c r="A17" s="3" t="s">
        <v>22</v>
      </c>
      <c r="B17" s="24">
        <v>8000</v>
      </c>
      <c r="C17" s="24">
        <v>8000</v>
      </c>
      <c r="D17" s="24">
        <v>8000</v>
      </c>
      <c r="E17" s="24">
        <v>8000</v>
      </c>
      <c r="F17" s="24">
        <v>8000</v>
      </c>
      <c r="G17" s="24">
        <v>8000</v>
      </c>
      <c r="H17" s="24">
        <v>8000</v>
      </c>
      <c r="I17" s="24">
        <v>8000</v>
      </c>
      <c r="J17" s="24">
        <v>8000</v>
      </c>
      <c r="K17" s="24">
        <v>8000</v>
      </c>
      <c r="L17" s="24">
        <v>8000</v>
      </c>
      <c r="M17" s="24">
        <v>8000</v>
      </c>
      <c r="N17" s="24">
        <f t="shared" si="1"/>
        <v>96000</v>
      </c>
    </row>
    <row r="18" spans="1:14" x14ac:dyDescent="0.3">
      <c r="A18" s="3" t="s">
        <v>23</v>
      </c>
      <c r="B18" s="24">
        <f>49*B8</f>
        <v>19600</v>
      </c>
      <c r="C18" s="24">
        <f t="shared" ref="C18:M18" si="6">49*C8</f>
        <v>18620</v>
      </c>
      <c r="D18" s="24">
        <f t="shared" si="6"/>
        <v>21070</v>
      </c>
      <c r="E18" s="24">
        <f t="shared" si="6"/>
        <v>21070</v>
      </c>
      <c r="F18" s="24">
        <f t="shared" si="6"/>
        <v>22050</v>
      </c>
      <c r="G18" s="24">
        <f t="shared" si="6"/>
        <v>23275</v>
      </c>
      <c r="H18" s="24">
        <f t="shared" si="6"/>
        <v>23030</v>
      </c>
      <c r="I18" s="24">
        <f t="shared" si="6"/>
        <v>23030</v>
      </c>
      <c r="J18" s="24">
        <f t="shared" si="6"/>
        <v>22785</v>
      </c>
      <c r="K18" s="24">
        <f t="shared" si="6"/>
        <v>22050</v>
      </c>
      <c r="L18" s="24">
        <f t="shared" si="6"/>
        <v>21070</v>
      </c>
      <c r="M18" s="24">
        <f t="shared" si="6"/>
        <v>20580</v>
      </c>
      <c r="N18" s="24">
        <f t="shared" si="1"/>
        <v>258230</v>
      </c>
    </row>
    <row r="19" spans="1:14" x14ac:dyDescent="0.3">
      <c r="A19" s="3" t="s">
        <v>24</v>
      </c>
      <c r="B19" s="24">
        <v>3100</v>
      </c>
      <c r="C19" s="24">
        <v>3100</v>
      </c>
      <c r="D19" s="24">
        <v>3100</v>
      </c>
      <c r="E19" s="24">
        <v>3100</v>
      </c>
      <c r="F19" s="24">
        <v>3100</v>
      </c>
      <c r="G19" s="24">
        <v>3100</v>
      </c>
      <c r="H19" s="24">
        <v>3100</v>
      </c>
      <c r="I19" s="24">
        <v>3100</v>
      </c>
      <c r="J19" s="24">
        <v>3100</v>
      </c>
      <c r="K19" s="24">
        <v>3100</v>
      </c>
      <c r="L19" s="24">
        <v>3100</v>
      </c>
      <c r="M19" s="24">
        <v>3100</v>
      </c>
      <c r="N19" s="24">
        <f t="shared" si="1"/>
        <v>37200</v>
      </c>
    </row>
    <row r="20" spans="1:14" x14ac:dyDescent="0.3">
      <c r="A20" s="3" t="s">
        <v>25</v>
      </c>
      <c r="B20" s="24">
        <v>5000</v>
      </c>
      <c r="C20" s="24">
        <v>5000</v>
      </c>
      <c r="D20" s="24">
        <v>5000</v>
      </c>
      <c r="E20" s="24">
        <v>5000</v>
      </c>
      <c r="F20" s="24">
        <v>5000</v>
      </c>
      <c r="G20" s="24">
        <v>5000</v>
      </c>
      <c r="H20" s="24">
        <v>5000</v>
      </c>
      <c r="I20" s="24">
        <v>5000</v>
      </c>
      <c r="J20" s="24">
        <v>5000</v>
      </c>
      <c r="K20" s="24">
        <v>5000</v>
      </c>
      <c r="L20" s="24">
        <v>5000</v>
      </c>
      <c r="M20" s="24">
        <v>5000</v>
      </c>
      <c r="N20" s="24">
        <f t="shared" si="1"/>
        <v>60000</v>
      </c>
    </row>
    <row r="21" spans="1:14" x14ac:dyDescent="0.3">
      <c r="A21" s="3" t="s">
        <v>26</v>
      </c>
      <c r="B21" s="24">
        <f>5700*1.03</f>
        <v>5871</v>
      </c>
      <c r="C21" s="24">
        <f t="shared" ref="C21:M21" si="7">5700*1.03</f>
        <v>5871</v>
      </c>
      <c r="D21" s="24">
        <f t="shared" si="7"/>
        <v>5871</v>
      </c>
      <c r="E21" s="24">
        <f t="shared" si="7"/>
        <v>5871</v>
      </c>
      <c r="F21" s="24">
        <f t="shared" si="7"/>
        <v>5871</v>
      </c>
      <c r="G21" s="24">
        <f t="shared" si="7"/>
        <v>5871</v>
      </c>
      <c r="H21" s="24">
        <f t="shared" si="7"/>
        <v>5871</v>
      </c>
      <c r="I21" s="24">
        <f t="shared" si="7"/>
        <v>5871</v>
      </c>
      <c r="J21" s="24">
        <f t="shared" si="7"/>
        <v>5871</v>
      </c>
      <c r="K21" s="24">
        <f t="shared" si="7"/>
        <v>5871</v>
      </c>
      <c r="L21" s="24">
        <f t="shared" si="7"/>
        <v>5871</v>
      </c>
      <c r="M21" s="24">
        <f t="shared" si="7"/>
        <v>5871</v>
      </c>
      <c r="N21" s="24">
        <f t="shared" si="1"/>
        <v>70452</v>
      </c>
    </row>
    <row r="22" spans="1:14" x14ac:dyDescent="0.3">
      <c r="A22" s="3" t="s">
        <v>27</v>
      </c>
      <c r="B22" s="24">
        <v>800</v>
      </c>
      <c r="C22" s="24">
        <v>800</v>
      </c>
      <c r="D22" s="24">
        <v>800</v>
      </c>
      <c r="E22" s="24">
        <v>800</v>
      </c>
      <c r="F22" s="24">
        <v>800</v>
      </c>
      <c r="G22" s="24">
        <v>800</v>
      </c>
      <c r="H22" s="24">
        <v>800</v>
      </c>
      <c r="I22" s="24">
        <v>800</v>
      </c>
      <c r="J22" s="24">
        <v>800</v>
      </c>
      <c r="K22" s="24">
        <v>800</v>
      </c>
      <c r="L22" s="24">
        <v>800</v>
      </c>
      <c r="M22" s="24">
        <v>800</v>
      </c>
      <c r="N22" s="24">
        <f t="shared" si="1"/>
        <v>9600</v>
      </c>
    </row>
    <row r="23" spans="1:14" x14ac:dyDescent="0.3">
      <c r="A23" s="3" t="s">
        <v>28</v>
      </c>
      <c r="B23" s="24">
        <v>45</v>
      </c>
      <c r="C23" s="24">
        <v>45</v>
      </c>
      <c r="D23" s="24">
        <v>45</v>
      </c>
      <c r="E23" s="24">
        <v>45</v>
      </c>
      <c r="F23" s="24">
        <v>45</v>
      </c>
      <c r="G23" s="24">
        <v>45</v>
      </c>
      <c r="H23" s="24">
        <v>45</v>
      </c>
      <c r="I23" s="24">
        <v>45</v>
      </c>
      <c r="J23" s="24">
        <v>45</v>
      </c>
      <c r="K23" s="24">
        <v>45</v>
      </c>
      <c r="L23" s="24">
        <v>45</v>
      </c>
      <c r="M23" s="24">
        <v>45</v>
      </c>
      <c r="N23" s="24">
        <f t="shared" si="1"/>
        <v>540</v>
      </c>
    </row>
    <row r="24" spans="1:14" x14ac:dyDescent="0.3">
      <c r="A24" s="3" t="s">
        <v>33</v>
      </c>
      <c r="B24" s="24">
        <v>200</v>
      </c>
      <c r="C24" s="24">
        <v>200</v>
      </c>
      <c r="D24" s="24">
        <v>200</v>
      </c>
      <c r="E24" s="24">
        <v>200</v>
      </c>
      <c r="F24" s="24">
        <v>200</v>
      </c>
      <c r="G24" s="24">
        <v>200</v>
      </c>
      <c r="H24" s="24">
        <v>200</v>
      </c>
      <c r="I24" s="24">
        <v>200</v>
      </c>
      <c r="J24" s="24">
        <v>200</v>
      </c>
      <c r="K24" s="24">
        <v>200</v>
      </c>
      <c r="L24" s="24">
        <v>200</v>
      </c>
      <c r="M24" s="24">
        <v>200</v>
      </c>
      <c r="N24" s="24">
        <f t="shared" si="1"/>
        <v>2400</v>
      </c>
    </row>
    <row r="25" spans="1:14" x14ac:dyDescent="0.3">
      <c r="A25" s="3" t="s">
        <v>19</v>
      </c>
      <c r="B25" s="24">
        <v>300</v>
      </c>
      <c r="C25" s="24">
        <v>300</v>
      </c>
      <c r="D25" s="24">
        <v>300</v>
      </c>
      <c r="E25" s="24">
        <v>300</v>
      </c>
      <c r="F25" s="24">
        <v>300</v>
      </c>
      <c r="G25" s="24">
        <v>300</v>
      </c>
      <c r="H25" s="24">
        <v>300</v>
      </c>
      <c r="I25" s="24">
        <v>300</v>
      </c>
      <c r="J25" s="24">
        <v>300</v>
      </c>
      <c r="K25" s="24">
        <v>300</v>
      </c>
      <c r="L25" s="24">
        <v>300</v>
      </c>
      <c r="M25" s="24">
        <v>300</v>
      </c>
      <c r="N25" s="24">
        <f t="shared" si="1"/>
        <v>3600</v>
      </c>
    </row>
    <row r="26" spans="1:14" x14ac:dyDescent="0.3">
      <c r="A26" s="3" t="s">
        <v>36</v>
      </c>
      <c r="B26" s="24">
        <v>400</v>
      </c>
      <c r="C26" s="24">
        <v>400</v>
      </c>
      <c r="D26" s="24">
        <v>400</v>
      </c>
      <c r="E26" s="24">
        <v>400</v>
      </c>
      <c r="F26" s="24">
        <v>400</v>
      </c>
      <c r="G26" s="24">
        <v>400</v>
      </c>
      <c r="H26" s="24">
        <v>400</v>
      </c>
      <c r="I26" s="24">
        <v>400</v>
      </c>
      <c r="J26" s="24">
        <v>400</v>
      </c>
      <c r="K26" s="24">
        <v>400</v>
      </c>
      <c r="L26" s="24">
        <v>400</v>
      </c>
      <c r="M26" s="24">
        <v>400</v>
      </c>
      <c r="N26" s="24">
        <f t="shared" si="1"/>
        <v>4800</v>
      </c>
    </row>
    <row r="27" spans="1:14" x14ac:dyDescent="0.3">
      <c r="A27" s="3" t="s">
        <v>37</v>
      </c>
      <c r="B27" s="24">
        <f>240*B8</f>
        <v>96000</v>
      </c>
      <c r="C27" s="24">
        <f t="shared" ref="C27:M27" si="8">240*C8</f>
        <v>91200</v>
      </c>
      <c r="D27" s="24">
        <f t="shared" si="8"/>
        <v>103200</v>
      </c>
      <c r="E27" s="24">
        <f t="shared" si="8"/>
        <v>103200</v>
      </c>
      <c r="F27" s="24">
        <f t="shared" si="8"/>
        <v>108000</v>
      </c>
      <c r="G27" s="24">
        <f t="shared" si="8"/>
        <v>114000</v>
      </c>
      <c r="H27" s="24">
        <f t="shared" si="8"/>
        <v>112800</v>
      </c>
      <c r="I27" s="24">
        <f t="shared" si="8"/>
        <v>112800</v>
      </c>
      <c r="J27" s="24">
        <f t="shared" si="8"/>
        <v>111600</v>
      </c>
      <c r="K27" s="24">
        <f t="shared" si="8"/>
        <v>108000</v>
      </c>
      <c r="L27" s="24">
        <f t="shared" si="8"/>
        <v>103200</v>
      </c>
      <c r="M27" s="24">
        <f t="shared" si="8"/>
        <v>100800</v>
      </c>
      <c r="N27" s="24">
        <f t="shared" si="1"/>
        <v>1264800</v>
      </c>
    </row>
    <row r="28" spans="1:14" x14ac:dyDescent="0.3">
      <c r="A28" s="3" t="s">
        <v>38</v>
      </c>
      <c r="B28" s="24">
        <f>B7*0.4*0.08</f>
        <v>10112</v>
      </c>
      <c r="C28" s="24">
        <f t="shared" ref="C28:M28" si="9">C7*0.4*0.08</f>
        <v>9606.4</v>
      </c>
      <c r="D28" s="24">
        <f t="shared" si="9"/>
        <v>10870.4</v>
      </c>
      <c r="E28" s="24">
        <f t="shared" si="9"/>
        <v>10870.4</v>
      </c>
      <c r="F28" s="24">
        <f t="shared" si="9"/>
        <v>11376</v>
      </c>
      <c r="G28" s="24">
        <f t="shared" si="9"/>
        <v>12008</v>
      </c>
      <c r="H28" s="24">
        <f t="shared" si="9"/>
        <v>11881.6</v>
      </c>
      <c r="I28" s="24">
        <f t="shared" si="9"/>
        <v>11881.6</v>
      </c>
      <c r="J28" s="24">
        <f t="shared" si="9"/>
        <v>11755.2</v>
      </c>
      <c r="K28" s="24">
        <f t="shared" si="9"/>
        <v>11376</v>
      </c>
      <c r="L28" s="24">
        <f t="shared" si="9"/>
        <v>10870.4</v>
      </c>
      <c r="M28" s="24">
        <f t="shared" si="9"/>
        <v>10617.6</v>
      </c>
      <c r="N28" s="24">
        <f t="shared" si="1"/>
        <v>133225.60000000001</v>
      </c>
    </row>
    <row r="29" spans="1:14" x14ac:dyDescent="0.3">
      <c r="A29" s="3" t="s">
        <v>39</v>
      </c>
      <c r="B29" s="25">
        <v>1550</v>
      </c>
      <c r="C29" s="25">
        <v>1550</v>
      </c>
      <c r="D29" s="25">
        <v>1400</v>
      </c>
      <c r="E29" s="25">
        <v>1450</v>
      </c>
      <c r="F29" s="25">
        <v>1600</v>
      </c>
      <c r="G29" s="25">
        <v>1950</v>
      </c>
      <c r="H29" s="25">
        <v>2400</v>
      </c>
      <c r="I29" s="25">
        <v>2600</v>
      </c>
      <c r="J29" s="25">
        <v>2300</v>
      </c>
      <c r="K29" s="25">
        <v>2100</v>
      </c>
      <c r="L29" s="25">
        <v>1600</v>
      </c>
      <c r="M29" s="25">
        <v>1600</v>
      </c>
      <c r="N29" s="25">
        <f t="shared" si="1"/>
        <v>22100</v>
      </c>
    </row>
    <row r="30" spans="1:14" x14ac:dyDescent="0.3">
      <c r="A30" s="4" t="s">
        <v>40</v>
      </c>
      <c r="B30" s="25">
        <f>SUM(B13:B29)</f>
        <v>212508</v>
      </c>
      <c r="C30" s="25">
        <f t="shared" ref="C30:M30" si="10">SUM(C13:C29)</f>
        <v>203242.4</v>
      </c>
      <c r="D30" s="25">
        <f t="shared" si="10"/>
        <v>226256.4</v>
      </c>
      <c r="E30" s="25">
        <f t="shared" si="10"/>
        <v>226306.4</v>
      </c>
      <c r="F30" s="25">
        <f t="shared" si="10"/>
        <v>235722</v>
      </c>
      <c r="G30" s="25">
        <f t="shared" si="10"/>
        <v>247654</v>
      </c>
      <c r="H30" s="25">
        <f t="shared" si="10"/>
        <v>245787.6</v>
      </c>
      <c r="I30" s="25">
        <f t="shared" si="10"/>
        <v>245987.6</v>
      </c>
      <c r="J30" s="25">
        <f t="shared" si="10"/>
        <v>243371.2</v>
      </c>
      <c r="K30" s="25">
        <f t="shared" si="10"/>
        <v>236222</v>
      </c>
      <c r="L30" s="25">
        <f t="shared" si="10"/>
        <v>226456.4</v>
      </c>
      <c r="M30" s="25">
        <f t="shared" si="10"/>
        <v>221823.6</v>
      </c>
      <c r="N30" s="25">
        <f t="shared" si="1"/>
        <v>2771337.6000000006</v>
      </c>
    </row>
    <row r="31" spans="1:14" x14ac:dyDescent="0.3">
      <c r="A31" s="4" t="s">
        <v>41</v>
      </c>
      <c r="B31" s="24">
        <f>B11-B30</f>
        <v>15012</v>
      </c>
      <c r="C31" s="24">
        <f t="shared" ref="C31:M31" si="11">C11-C30</f>
        <v>12901.600000000006</v>
      </c>
      <c r="D31" s="24">
        <f t="shared" si="11"/>
        <v>18327.600000000006</v>
      </c>
      <c r="E31" s="24">
        <f t="shared" si="11"/>
        <v>18277.600000000006</v>
      </c>
      <c r="F31" s="24">
        <f t="shared" si="11"/>
        <v>20238</v>
      </c>
      <c r="G31" s="24">
        <f t="shared" si="11"/>
        <v>22526</v>
      </c>
      <c r="H31" s="24">
        <f t="shared" si="11"/>
        <v>21548.399999999994</v>
      </c>
      <c r="I31" s="24">
        <f t="shared" si="11"/>
        <v>21348.399999999994</v>
      </c>
      <c r="J31" s="24">
        <f t="shared" si="11"/>
        <v>21120.799999999988</v>
      </c>
      <c r="K31" s="24">
        <f t="shared" si="11"/>
        <v>19738</v>
      </c>
      <c r="L31" s="24">
        <f t="shared" si="11"/>
        <v>18127.600000000006</v>
      </c>
      <c r="M31" s="24">
        <f t="shared" si="11"/>
        <v>17072.399999999994</v>
      </c>
      <c r="N31" s="24">
        <f t="shared" si="1"/>
        <v>226238.4</v>
      </c>
    </row>
    <row r="32" spans="1:14" x14ac:dyDescent="0.3">
      <c r="A32" s="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x14ac:dyDescent="0.3">
      <c r="A33" s="3" t="s">
        <v>66</v>
      </c>
      <c r="B33" s="24">
        <f>593+820+580+911+1046+1511</f>
        <v>5461</v>
      </c>
      <c r="C33" s="24">
        <f t="shared" ref="C33:M33" si="12">593+820+580+911+1046+1511</f>
        <v>5461</v>
      </c>
      <c r="D33" s="24">
        <f t="shared" si="12"/>
        <v>5461</v>
      </c>
      <c r="E33" s="24">
        <f t="shared" si="12"/>
        <v>5461</v>
      </c>
      <c r="F33" s="24">
        <f t="shared" si="12"/>
        <v>5461</v>
      </c>
      <c r="G33" s="24">
        <f t="shared" si="12"/>
        <v>5461</v>
      </c>
      <c r="H33" s="24">
        <f t="shared" si="12"/>
        <v>5461</v>
      </c>
      <c r="I33" s="24">
        <f t="shared" si="12"/>
        <v>5461</v>
      </c>
      <c r="J33" s="24">
        <f t="shared" si="12"/>
        <v>5461</v>
      </c>
      <c r="K33" s="24">
        <f t="shared" si="12"/>
        <v>5461</v>
      </c>
      <c r="L33" s="24">
        <f t="shared" si="12"/>
        <v>5461</v>
      </c>
      <c r="M33" s="24">
        <f t="shared" si="12"/>
        <v>5461</v>
      </c>
      <c r="N33" s="24">
        <f>SUM(B33:M33)</f>
        <v>65532</v>
      </c>
    </row>
    <row r="34" spans="1:14" x14ac:dyDescent="0.3">
      <c r="A34" s="3" t="s">
        <v>67</v>
      </c>
      <c r="B34" s="25">
        <v>2268</v>
      </c>
      <c r="C34" s="25">
        <v>2268</v>
      </c>
      <c r="D34" s="25">
        <v>2268</v>
      </c>
      <c r="E34" s="25">
        <v>2268</v>
      </c>
      <c r="F34" s="25">
        <v>2268</v>
      </c>
      <c r="G34" s="25">
        <v>2268</v>
      </c>
      <c r="H34" s="25">
        <v>2268</v>
      </c>
      <c r="I34" s="25">
        <v>2268</v>
      </c>
      <c r="J34" s="25">
        <v>2268</v>
      </c>
      <c r="K34" s="25">
        <v>2268</v>
      </c>
      <c r="L34" s="25">
        <v>2268</v>
      </c>
      <c r="M34" s="25">
        <v>2268</v>
      </c>
      <c r="N34" s="25">
        <f>SUM(B34:M34)</f>
        <v>27216</v>
      </c>
    </row>
    <row r="35" spans="1:14" x14ac:dyDescent="0.3">
      <c r="A35" s="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x14ac:dyDescent="0.3">
      <c r="A36" s="5" t="s">
        <v>69</v>
      </c>
      <c r="B36" s="24">
        <f>B31-B33-B34</f>
        <v>7283</v>
      </c>
      <c r="C36" s="24">
        <f t="shared" ref="C36:N36" si="13">C31-C33-C34</f>
        <v>5172.6000000000058</v>
      </c>
      <c r="D36" s="24">
        <f t="shared" si="13"/>
        <v>10598.600000000006</v>
      </c>
      <c r="E36" s="24">
        <f t="shared" si="13"/>
        <v>10548.600000000006</v>
      </c>
      <c r="F36" s="24">
        <f t="shared" si="13"/>
        <v>12509</v>
      </c>
      <c r="G36" s="24">
        <f t="shared" si="13"/>
        <v>14797</v>
      </c>
      <c r="H36" s="24">
        <f t="shared" si="13"/>
        <v>13819.399999999994</v>
      </c>
      <c r="I36" s="24">
        <f t="shared" si="13"/>
        <v>13619.399999999994</v>
      </c>
      <c r="J36" s="24">
        <f t="shared" si="13"/>
        <v>13391.799999999988</v>
      </c>
      <c r="K36" s="24">
        <f t="shared" si="13"/>
        <v>12009</v>
      </c>
      <c r="L36" s="24">
        <f t="shared" si="13"/>
        <v>10398.600000000006</v>
      </c>
      <c r="M36" s="24">
        <f t="shared" si="13"/>
        <v>9343.3999999999942</v>
      </c>
      <c r="N36" s="24">
        <f t="shared" si="13"/>
        <v>133490.4</v>
      </c>
    </row>
    <row r="37" spans="1:14" x14ac:dyDescent="0.3">
      <c r="A37" s="6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x14ac:dyDescent="0.3">
      <c r="A38" s="1" t="s">
        <v>72</v>
      </c>
      <c r="B38" s="24"/>
      <c r="C38" s="24"/>
      <c r="D38" s="24"/>
      <c r="E38" s="24">
        <v>25000</v>
      </c>
      <c r="F38" s="24"/>
      <c r="G38" s="24"/>
      <c r="H38" s="24">
        <v>35000</v>
      </c>
      <c r="I38" s="24"/>
      <c r="J38" s="24"/>
      <c r="K38" s="24"/>
      <c r="L38" s="24">
        <v>40000</v>
      </c>
      <c r="M38" s="24"/>
      <c r="N38" s="24">
        <f>SUM(D38:M38)</f>
        <v>100000</v>
      </c>
    </row>
    <row r="39" spans="1:14" x14ac:dyDescent="0.3">
      <c r="A39" s="1" t="s">
        <v>73</v>
      </c>
      <c r="B39" s="25"/>
      <c r="C39" s="25"/>
      <c r="D39" s="25">
        <v>7000</v>
      </c>
      <c r="E39" s="25"/>
      <c r="F39" s="25"/>
      <c r="G39" s="25">
        <v>7000</v>
      </c>
      <c r="H39" s="25"/>
      <c r="I39" s="25"/>
      <c r="J39" s="25">
        <v>7000</v>
      </c>
      <c r="K39" s="25"/>
      <c r="L39" s="25">
        <v>7000</v>
      </c>
      <c r="M39" s="25"/>
      <c r="N39" s="25">
        <f>SUM(D39:M39)</f>
        <v>28000</v>
      </c>
    </row>
    <row r="40" spans="1:14" x14ac:dyDescent="0.3">
      <c r="A40" s="1" t="s">
        <v>74</v>
      </c>
      <c r="B40" s="24">
        <f>B36-B38-B39</f>
        <v>7283</v>
      </c>
      <c r="C40" s="24">
        <f t="shared" ref="C40:N40" si="14">C36-C38-C39</f>
        <v>5172.6000000000058</v>
      </c>
      <c r="D40" s="24">
        <f t="shared" si="14"/>
        <v>3598.6000000000058</v>
      </c>
      <c r="E40" s="24">
        <f t="shared" si="14"/>
        <v>-14451.399999999994</v>
      </c>
      <c r="F40" s="24">
        <f t="shared" si="14"/>
        <v>12509</v>
      </c>
      <c r="G40" s="24">
        <f t="shared" si="14"/>
        <v>7797</v>
      </c>
      <c r="H40" s="24">
        <f t="shared" si="14"/>
        <v>-21180.600000000006</v>
      </c>
      <c r="I40" s="24">
        <f t="shared" si="14"/>
        <v>13619.399999999994</v>
      </c>
      <c r="J40" s="24">
        <f t="shared" si="14"/>
        <v>6391.7999999999884</v>
      </c>
      <c r="K40" s="24">
        <f t="shared" si="14"/>
        <v>12009</v>
      </c>
      <c r="L40" s="24">
        <f t="shared" si="14"/>
        <v>-36601.399999999994</v>
      </c>
      <c r="M40" s="24">
        <f t="shared" si="14"/>
        <v>9343.3999999999942</v>
      </c>
      <c r="N40" s="24">
        <f t="shared" si="14"/>
        <v>5490.3999999999942</v>
      </c>
    </row>
    <row r="41" spans="1:14" x14ac:dyDescent="0.3">
      <c r="A41" s="3"/>
    </row>
    <row r="42" spans="1:14" x14ac:dyDescent="0.3">
      <c r="A42" s="3"/>
    </row>
    <row r="43" spans="1:14" x14ac:dyDescent="0.3">
      <c r="A43" s="3"/>
    </row>
    <row r="44" spans="1:14" x14ac:dyDescent="0.3">
      <c r="A44" s="3"/>
    </row>
    <row r="45" spans="1:14" x14ac:dyDescent="0.3">
      <c r="A45" s="3"/>
    </row>
    <row r="46" spans="1:14" x14ac:dyDescent="0.3">
      <c r="A46" s="3"/>
    </row>
    <row r="47" spans="1:14" x14ac:dyDescent="0.3">
      <c r="A47" s="4"/>
    </row>
    <row r="48" spans="1:14" x14ac:dyDescent="0.3">
      <c r="A48" s="4"/>
    </row>
    <row r="49" spans="1:1" x14ac:dyDescent="0.3">
      <c r="A49" s="4"/>
    </row>
    <row r="50" spans="1:1" x14ac:dyDescent="0.3">
      <c r="A50" s="4"/>
    </row>
    <row r="54" spans="1:1" x14ac:dyDescent="0.3">
      <c r="A54"/>
    </row>
  </sheetData>
  <pageMargins left="0.7" right="0.7" top="0.75" bottom="0.75" header="0.3" footer="0.3"/>
  <pageSetup scale="66" fitToHeight="0" orientation="landscape" horizontalDpi="0" verticalDpi="0" r:id="rId1"/>
  <headerFooter>
    <oddHeader xml:space="preserve">&amp;CAuto Glass 2020
Plan for 2028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8DD8-C5D3-47CB-AD7C-66F62041DC02}">
  <sheetPr>
    <pageSetUpPr fitToPage="1"/>
  </sheetPr>
  <dimension ref="A1:N54"/>
  <sheetViews>
    <sheetView view="pageLayout" topLeftCell="A16" zoomScaleNormal="100" workbookViewId="0">
      <selection activeCell="K39" sqref="K39"/>
    </sheetView>
  </sheetViews>
  <sheetFormatPr defaultRowHeight="15.6" x14ac:dyDescent="0.3"/>
  <cols>
    <col min="1" max="1" width="25.5" style="1" customWidth="1"/>
    <col min="2" max="13" width="11.09765625" bestFit="1" customWidth="1"/>
    <col min="14" max="14" width="12.59765625" bestFit="1" customWidth="1"/>
  </cols>
  <sheetData>
    <row r="1" spans="1:14" x14ac:dyDescent="0.3">
      <c r="A1"/>
    </row>
    <row r="2" spans="1:14" x14ac:dyDescent="0.3">
      <c r="A2"/>
    </row>
    <row r="3" spans="1:14" x14ac:dyDescent="0.3">
      <c r="A3"/>
    </row>
    <row r="4" spans="1:14" x14ac:dyDescent="0.3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>
        <v>2029</v>
      </c>
    </row>
    <row r="5" spans="1:14" x14ac:dyDescent="0.3">
      <c r="A5" s="7" t="s">
        <v>44</v>
      </c>
      <c r="B5" s="13" t="s">
        <v>50</v>
      </c>
      <c r="C5" s="13" t="s">
        <v>51</v>
      </c>
      <c r="D5" s="13" t="s">
        <v>52</v>
      </c>
      <c r="E5" s="13" t="s">
        <v>53</v>
      </c>
      <c r="F5" s="13" t="s">
        <v>54</v>
      </c>
      <c r="G5" s="13" t="s">
        <v>55</v>
      </c>
      <c r="H5" s="13" t="s">
        <v>56</v>
      </c>
      <c r="I5" s="13" t="s">
        <v>57</v>
      </c>
      <c r="J5" s="13" t="s">
        <v>58</v>
      </c>
      <c r="K5" s="13" t="s">
        <v>59</v>
      </c>
      <c r="L5" s="13" t="s">
        <v>60</v>
      </c>
      <c r="M5" s="13" t="s">
        <v>61</v>
      </c>
      <c r="N5" s="13" t="s">
        <v>62</v>
      </c>
    </row>
    <row r="6" spans="1:14" x14ac:dyDescent="0.3">
      <c r="A6" s="3"/>
    </row>
    <row r="7" spans="1:14" x14ac:dyDescent="0.3">
      <c r="A7" s="4" t="s">
        <v>7</v>
      </c>
      <c r="B7">
        <f>B8*780</f>
        <v>327600</v>
      </c>
      <c r="C7">
        <f t="shared" ref="C7:M7" si="0">C8*780</f>
        <v>312000</v>
      </c>
      <c r="D7">
        <f t="shared" si="0"/>
        <v>351000</v>
      </c>
      <c r="E7">
        <f t="shared" si="0"/>
        <v>351000</v>
      </c>
      <c r="F7">
        <f t="shared" si="0"/>
        <v>370500</v>
      </c>
      <c r="G7">
        <f t="shared" si="0"/>
        <v>390000</v>
      </c>
      <c r="H7">
        <f t="shared" si="0"/>
        <v>386100</v>
      </c>
      <c r="I7">
        <f t="shared" si="0"/>
        <v>386100</v>
      </c>
      <c r="J7">
        <f t="shared" si="0"/>
        <v>382200</v>
      </c>
      <c r="K7">
        <f t="shared" si="0"/>
        <v>366600</v>
      </c>
      <c r="L7">
        <f t="shared" si="0"/>
        <v>351000</v>
      </c>
      <c r="M7">
        <f t="shared" si="0"/>
        <v>343200</v>
      </c>
      <c r="N7">
        <f>SUM(B7:M7)</f>
        <v>4317300</v>
      </c>
    </row>
    <row r="8" spans="1:14" x14ac:dyDescent="0.3">
      <c r="A8" s="4" t="s">
        <v>49</v>
      </c>
      <c r="B8">
        <v>420</v>
      </c>
      <c r="C8">
        <v>400</v>
      </c>
      <c r="D8">
        <v>450</v>
      </c>
      <c r="E8">
        <v>450</v>
      </c>
      <c r="F8">
        <v>475</v>
      </c>
      <c r="G8">
        <v>500</v>
      </c>
      <c r="H8">
        <v>495</v>
      </c>
      <c r="I8">
        <v>495</v>
      </c>
      <c r="J8">
        <v>490</v>
      </c>
      <c r="K8">
        <v>470</v>
      </c>
      <c r="L8">
        <v>450</v>
      </c>
      <c r="M8">
        <v>440</v>
      </c>
      <c r="N8">
        <f t="shared" ref="N8:N31" si="1">SUM(B8:M8)</f>
        <v>5535</v>
      </c>
    </row>
    <row r="9" spans="1:14" x14ac:dyDescent="0.3">
      <c r="A9" s="6" t="s">
        <v>11</v>
      </c>
      <c r="B9" s="24">
        <f>B7*0.28</f>
        <v>91728.000000000015</v>
      </c>
      <c r="C9" s="24">
        <f t="shared" ref="C9:M9" si="2">C7*0.28</f>
        <v>87360.000000000015</v>
      </c>
      <c r="D9" s="24">
        <f t="shared" si="2"/>
        <v>98280.000000000015</v>
      </c>
      <c r="E9" s="24">
        <f t="shared" si="2"/>
        <v>98280.000000000015</v>
      </c>
      <c r="F9" s="24">
        <f t="shared" si="2"/>
        <v>103740.00000000001</v>
      </c>
      <c r="G9" s="24">
        <f t="shared" si="2"/>
        <v>109200.00000000001</v>
      </c>
      <c r="H9" s="24">
        <f t="shared" si="2"/>
        <v>108108.00000000001</v>
      </c>
      <c r="I9" s="24">
        <f t="shared" si="2"/>
        <v>108108.00000000001</v>
      </c>
      <c r="J9" s="24">
        <f t="shared" si="2"/>
        <v>107016.00000000001</v>
      </c>
      <c r="K9" s="24">
        <f t="shared" si="2"/>
        <v>102648.00000000001</v>
      </c>
      <c r="L9" s="24">
        <f t="shared" si="2"/>
        <v>98280.000000000015</v>
      </c>
      <c r="M9" s="24">
        <f t="shared" si="2"/>
        <v>96096.000000000015</v>
      </c>
      <c r="N9" s="24">
        <f t="shared" si="1"/>
        <v>1208844.0000000002</v>
      </c>
    </row>
    <row r="10" spans="1:14" x14ac:dyDescent="0.3">
      <c r="A10" s="4" t="s">
        <v>11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>
        <f t="shared" si="1"/>
        <v>0</v>
      </c>
    </row>
    <row r="11" spans="1:14" x14ac:dyDescent="0.3">
      <c r="A11" s="4" t="s">
        <v>12</v>
      </c>
      <c r="B11" s="24">
        <f t="shared" ref="B11:M11" si="3">B7-B9</f>
        <v>235872</v>
      </c>
      <c r="C11" s="24">
        <f t="shared" si="3"/>
        <v>224640</v>
      </c>
      <c r="D11" s="24">
        <f t="shared" si="3"/>
        <v>252720</v>
      </c>
      <c r="E11" s="24">
        <f t="shared" si="3"/>
        <v>252720</v>
      </c>
      <c r="F11" s="24">
        <f t="shared" si="3"/>
        <v>266760</v>
      </c>
      <c r="G11" s="24">
        <f t="shared" si="3"/>
        <v>280800</v>
      </c>
      <c r="H11" s="24">
        <f t="shared" si="3"/>
        <v>277992</v>
      </c>
      <c r="I11" s="24">
        <f t="shared" si="3"/>
        <v>277992</v>
      </c>
      <c r="J11" s="24">
        <f t="shared" si="3"/>
        <v>275184</v>
      </c>
      <c r="K11" s="24">
        <f t="shared" si="3"/>
        <v>263952</v>
      </c>
      <c r="L11" s="24">
        <f t="shared" si="3"/>
        <v>252720</v>
      </c>
      <c r="M11" s="24">
        <f t="shared" si="3"/>
        <v>247104</v>
      </c>
      <c r="N11" s="24">
        <f t="shared" si="1"/>
        <v>3108456</v>
      </c>
    </row>
    <row r="12" spans="1:14" x14ac:dyDescent="0.3">
      <c r="A12" s="2" t="s">
        <v>13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>
        <f t="shared" si="1"/>
        <v>0</v>
      </c>
    </row>
    <row r="13" spans="1:14" x14ac:dyDescent="0.3">
      <c r="A13" s="3" t="s">
        <v>14</v>
      </c>
      <c r="B13" s="24">
        <f>B8*140</f>
        <v>58800</v>
      </c>
      <c r="C13" s="24">
        <f t="shared" ref="C13:M13" si="4">C8*140</f>
        <v>56000</v>
      </c>
      <c r="D13" s="24">
        <f t="shared" si="4"/>
        <v>63000</v>
      </c>
      <c r="E13" s="24">
        <f t="shared" si="4"/>
        <v>63000</v>
      </c>
      <c r="F13" s="24">
        <f t="shared" si="4"/>
        <v>66500</v>
      </c>
      <c r="G13" s="24">
        <f t="shared" si="4"/>
        <v>70000</v>
      </c>
      <c r="H13" s="24">
        <f t="shared" si="4"/>
        <v>69300</v>
      </c>
      <c r="I13" s="24">
        <f t="shared" si="4"/>
        <v>69300</v>
      </c>
      <c r="J13" s="24">
        <f t="shared" si="4"/>
        <v>68600</v>
      </c>
      <c r="K13" s="24">
        <f t="shared" si="4"/>
        <v>65800</v>
      </c>
      <c r="L13" s="24">
        <f t="shared" si="4"/>
        <v>63000</v>
      </c>
      <c r="M13" s="24">
        <f t="shared" si="4"/>
        <v>61600</v>
      </c>
      <c r="N13" s="24">
        <f t="shared" si="1"/>
        <v>774900</v>
      </c>
    </row>
    <row r="14" spans="1:14" x14ac:dyDescent="0.3">
      <c r="A14" s="3" t="s">
        <v>16</v>
      </c>
      <c r="B14" s="24">
        <v>330</v>
      </c>
      <c r="C14" s="24">
        <v>330</v>
      </c>
      <c r="D14" s="24">
        <v>330</v>
      </c>
      <c r="E14" s="24">
        <v>330</v>
      </c>
      <c r="F14" s="24">
        <v>330</v>
      </c>
      <c r="G14" s="24">
        <v>330</v>
      </c>
      <c r="H14" s="24">
        <v>330</v>
      </c>
      <c r="I14" s="24">
        <v>330</v>
      </c>
      <c r="J14" s="24">
        <v>330</v>
      </c>
      <c r="K14" s="24">
        <v>330</v>
      </c>
      <c r="L14" s="24">
        <v>330</v>
      </c>
      <c r="M14" s="24">
        <v>330</v>
      </c>
      <c r="N14" s="24">
        <f t="shared" si="1"/>
        <v>3960</v>
      </c>
    </row>
    <row r="15" spans="1:14" x14ac:dyDescent="0.3">
      <c r="A15" s="6" t="s">
        <v>20</v>
      </c>
      <c r="B15" s="24">
        <f>9*B8</f>
        <v>3780</v>
      </c>
      <c r="C15" s="24">
        <f t="shared" ref="C15:M15" si="5">9*C8</f>
        <v>3600</v>
      </c>
      <c r="D15" s="24">
        <f t="shared" si="5"/>
        <v>4050</v>
      </c>
      <c r="E15" s="24">
        <f t="shared" si="5"/>
        <v>4050</v>
      </c>
      <c r="F15" s="24">
        <f t="shared" si="5"/>
        <v>4275</v>
      </c>
      <c r="G15" s="24">
        <f t="shared" si="5"/>
        <v>4500</v>
      </c>
      <c r="H15" s="24">
        <f t="shared" si="5"/>
        <v>4455</v>
      </c>
      <c r="I15" s="24">
        <f t="shared" si="5"/>
        <v>4455</v>
      </c>
      <c r="J15" s="24">
        <f t="shared" si="5"/>
        <v>4410</v>
      </c>
      <c r="K15" s="24">
        <f t="shared" si="5"/>
        <v>4230</v>
      </c>
      <c r="L15" s="24">
        <f t="shared" si="5"/>
        <v>4050</v>
      </c>
      <c r="M15" s="24">
        <f t="shared" si="5"/>
        <v>3960</v>
      </c>
      <c r="N15" s="24">
        <f t="shared" si="1"/>
        <v>49815</v>
      </c>
    </row>
    <row r="16" spans="1:14" x14ac:dyDescent="0.3">
      <c r="A16" s="3" t="s">
        <v>21</v>
      </c>
      <c r="B16" s="24">
        <v>1600</v>
      </c>
      <c r="C16" s="24">
        <v>1600</v>
      </c>
      <c r="D16" s="24">
        <v>1600</v>
      </c>
      <c r="E16" s="24">
        <v>1600</v>
      </c>
      <c r="F16" s="24">
        <v>1600</v>
      </c>
      <c r="G16" s="24">
        <v>1600</v>
      </c>
      <c r="H16" s="24">
        <v>1600</v>
      </c>
      <c r="I16" s="24">
        <v>1600</v>
      </c>
      <c r="J16" s="24">
        <v>1600</v>
      </c>
      <c r="K16" s="24">
        <v>1600</v>
      </c>
      <c r="L16" s="24">
        <v>1600</v>
      </c>
      <c r="M16" s="24">
        <v>1600</v>
      </c>
      <c r="N16" s="24">
        <f t="shared" si="1"/>
        <v>19200</v>
      </c>
    </row>
    <row r="17" spans="1:14" x14ac:dyDescent="0.3">
      <c r="A17" s="3" t="s">
        <v>22</v>
      </c>
      <c r="B17" s="24">
        <v>8000</v>
      </c>
      <c r="C17" s="24">
        <v>8000</v>
      </c>
      <c r="D17" s="24">
        <v>8000</v>
      </c>
      <c r="E17" s="24">
        <v>8000</v>
      </c>
      <c r="F17" s="24">
        <v>8000</v>
      </c>
      <c r="G17" s="24">
        <v>8000</v>
      </c>
      <c r="H17" s="24">
        <v>8000</v>
      </c>
      <c r="I17" s="24">
        <v>8000</v>
      </c>
      <c r="J17" s="24">
        <v>8000</v>
      </c>
      <c r="K17" s="24">
        <v>8000</v>
      </c>
      <c r="L17" s="24">
        <v>8000</v>
      </c>
      <c r="M17" s="24">
        <v>8000</v>
      </c>
      <c r="N17" s="24">
        <f t="shared" si="1"/>
        <v>96000</v>
      </c>
    </row>
    <row r="18" spans="1:14" x14ac:dyDescent="0.3">
      <c r="A18" s="3" t="s">
        <v>23</v>
      </c>
      <c r="B18" s="24">
        <f>49*B8</f>
        <v>20580</v>
      </c>
      <c r="C18" s="24">
        <f t="shared" ref="C18:M18" si="6">49*C8</f>
        <v>19600</v>
      </c>
      <c r="D18" s="24">
        <f t="shared" si="6"/>
        <v>22050</v>
      </c>
      <c r="E18" s="24">
        <f t="shared" si="6"/>
        <v>22050</v>
      </c>
      <c r="F18" s="24">
        <f t="shared" si="6"/>
        <v>23275</v>
      </c>
      <c r="G18" s="24">
        <f t="shared" si="6"/>
        <v>24500</v>
      </c>
      <c r="H18" s="24">
        <f t="shared" si="6"/>
        <v>24255</v>
      </c>
      <c r="I18" s="24">
        <f t="shared" si="6"/>
        <v>24255</v>
      </c>
      <c r="J18" s="24">
        <f t="shared" si="6"/>
        <v>24010</v>
      </c>
      <c r="K18" s="24">
        <f t="shared" si="6"/>
        <v>23030</v>
      </c>
      <c r="L18" s="24">
        <f t="shared" si="6"/>
        <v>22050</v>
      </c>
      <c r="M18" s="24">
        <f t="shared" si="6"/>
        <v>21560</v>
      </c>
      <c r="N18" s="24">
        <f t="shared" si="1"/>
        <v>271215</v>
      </c>
    </row>
    <row r="19" spans="1:14" x14ac:dyDescent="0.3">
      <c r="A19" s="3" t="s">
        <v>24</v>
      </c>
      <c r="B19" s="24">
        <v>3100</v>
      </c>
      <c r="C19" s="24">
        <v>3100</v>
      </c>
      <c r="D19" s="24">
        <v>3100</v>
      </c>
      <c r="E19" s="24">
        <v>3100</v>
      </c>
      <c r="F19" s="24">
        <v>3100</v>
      </c>
      <c r="G19" s="24">
        <v>3100</v>
      </c>
      <c r="H19" s="24">
        <v>3100</v>
      </c>
      <c r="I19" s="24">
        <v>3100</v>
      </c>
      <c r="J19" s="24">
        <v>3100</v>
      </c>
      <c r="K19" s="24">
        <v>3100</v>
      </c>
      <c r="L19" s="24">
        <v>3100</v>
      </c>
      <c r="M19" s="24">
        <v>3100</v>
      </c>
      <c r="N19" s="24">
        <f t="shared" si="1"/>
        <v>37200</v>
      </c>
    </row>
    <row r="20" spans="1:14" x14ac:dyDescent="0.3">
      <c r="A20" s="3" t="s">
        <v>25</v>
      </c>
      <c r="B20" s="24">
        <v>5000</v>
      </c>
      <c r="C20" s="24">
        <v>5000</v>
      </c>
      <c r="D20" s="24">
        <v>5000</v>
      </c>
      <c r="E20" s="24">
        <v>5000</v>
      </c>
      <c r="F20" s="24">
        <v>5000</v>
      </c>
      <c r="G20" s="24">
        <v>5000</v>
      </c>
      <c r="H20" s="24">
        <v>5000</v>
      </c>
      <c r="I20" s="24">
        <v>5000</v>
      </c>
      <c r="J20" s="24">
        <v>5000</v>
      </c>
      <c r="K20" s="24">
        <v>5000</v>
      </c>
      <c r="L20" s="24">
        <v>5000</v>
      </c>
      <c r="M20" s="24">
        <v>5000</v>
      </c>
      <c r="N20" s="24">
        <f t="shared" si="1"/>
        <v>60000</v>
      </c>
    </row>
    <row r="21" spans="1:14" x14ac:dyDescent="0.3">
      <c r="A21" s="3" t="s">
        <v>26</v>
      </c>
      <c r="B21" s="24">
        <f>5700*1.03</f>
        <v>5871</v>
      </c>
      <c r="C21" s="24">
        <f t="shared" ref="C21:M21" si="7">5700*1.03</f>
        <v>5871</v>
      </c>
      <c r="D21" s="24">
        <f t="shared" si="7"/>
        <v>5871</v>
      </c>
      <c r="E21" s="24">
        <f t="shared" si="7"/>
        <v>5871</v>
      </c>
      <c r="F21" s="24">
        <f t="shared" si="7"/>
        <v>5871</v>
      </c>
      <c r="G21" s="24">
        <f t="shared" si="7"/>
        <v>5871</v>
      </c>
      <c r="H21" s="24">
        <f t="shared" si="7"/>
        <v>5871</v>
      </c>
      <c r="I21" s="24">
        <f t="shared" si="7"/>
        <v>5871</v>
      </c>
      <c r="J21" s="24">
        <f t="shared" si="7"/>
        <v>5871</v>
      </c>
      <c r="K21" s="24">
        <f t="shared" si="7"/>
        <v>5871</v>
      </c>
      <c r="L21" s="24">
        <f t="shared" si="7"/>
        <v>5871</v>
      </c>
      <c r="M21" s="24">
        <f t="shared" si="7"/>
        <v>5871</v>
      </c>
      <c r="N21" s="24">
        <f t="shared" si="1"/>
        <v>70452</v>
      </c>
    </row>
    <row r="22" spans="1:14" x14ac:dyDescent="0.3">
      <c r="A22" s="3" t="s">
        <v>27</v>
      </c>
      <c r="B22" s="24">
        <v>800</v>
      </c>
      <c r="C22" s="24">
        <v>800</v>
      </c>
      <c r="D22" s="24">
        <v>800</v>
      </c>
      <c r="E22" s="24">
        <v>800</v>
      </c>
      <c r="F22" s="24">
        <v>800</v>
      </c>
      <c r="G22" s="24">
        <v>800</v>
      </c>
      <c r="H22" s="24">
        <v>800</v>
      </c>
      <c r="I22" s="24">
        <v>800</v>
      </c>
      <c r="J22" s="24">
        <v>800</v>
      </c>
      <c r="K22" s="24">
        <v>800</v>
      </c>
      <c r="L22" s="24">
        <v>800</v>
      </c>
      <c r="M22" s="24">
        <v>800</v>
      </c>
      <c r="N22" s="24">
        <f t="shared" si="1"/>
        <v>9600</v>
      </c>
    </row>
    <row r="23" spans="1:14" x14ac:dyDescent="0.3">
      <c r="A23" s="3" t="s">
        <v>28</v>
      </c>
      <c r="B23" s="24">
        <v>45</v>
      </c>
      <c r="C23" s="24">
        <v>45</v>
      </c>
      <c r="D23" s="24">
        <v>45</v>
      </c>
      <c r="E23" s="24">
        <v>45</v>
      </c>
      <c r="F23" s="24">
        <v>45</v>
      </c>
      <c r="G23" s="24">
        <v>45</v>
      </c>
      <c r="H23" s="24">
        <v>45</v>
      </c>
      <c r="I23" s="24">
        <v>45</v>
      </c>
      <c r="J23" s="24">
        <v>45</v>
      </c>
      <c r="K23" s="24">
        <v>45</v>
      </c>
      <c r="L23" s="24">
        <v>45</v>
      </c>
      <c r="M23" s="24">
        <v>45</v>
      </c>
      <c r="N23" s="24">
        <f t="shared" si="1"/>
        <v>540</v>
      </c>
    </row>
    <row r="24" spans="1:14" x14ac:dyDescent="0.3">
      <c r="A24" s="3" t="s">
        <v>33</v>
      </c>
      <c r="B24" s="24">
        <v>200</v>
      </c>
      <c r="C24" s="24">
        <v>200</v>
      </c>
      <c r="D24" s="24">
        <v>200</v>
      </c>
      <c r="E24" s="24">
        <v>200</v>
      </c>
      <c r="F24" s="24">
        <v>200</v>
      </c>
      <c r="G24" s="24">
        <v>200</v>
      </c>
      <c r="H24" s="24">
        <v>200</v>
      </c>
      <c r="I24" s="24">
        <v>200</v>
      </c>
      <c r="J24" s="24">
        <v>200</v>
      </c>
      <c r="K24" s="24">
        <v>200</v>
      </c>
      <c r="L24" s="24">
        <v>200</v>
      </c>
      <c r="M24" s="24">
        <v>200</v>
      </c>
      <c r="N24" s="24">
        <f t="shared" si="1"/>
        <v>2400</v>
      </c>
    </row>
    <row r="25" spans="1:14" x14ac:dyDescent="0.3">
      <c r="A25" s="3" t="s">
        <v>19</v>
      </c>
      <c r="B25" s="24">
        <v>300</v>
      </c>
      <c r="C25" s="24">
        <v>300</v>
      </c>
      <c r="D25" s="24">
        <v>300</v>
      </c>
      <c r="E25" s="24">
        <v>300</v>
      </c>
      <c r="F25" s="24">
        <v>300</v>
      </c>
      <c r="G25" s="24">
        <v>300</v>
      </c>
      <c r="H25" s="24">
        <v>300</v>
      </c>
      <c r="I25" s="24">
        <v>300</v>
      </c>
      <c r="J25" s="24">
        <v>300</v>
      </c>
      <c r="K25" s="24">
        <v>300</v>
      </c>
      <c r="L25" s="24">
        <v>300</v>
      </c>
      <c r="M25" s="24">
        <v>300</v>
      </c>
      <c r="N25" s="24">
        <f t="shared" si="1"/>
        <v>3600</v>
      </c>
    </row>
    <row r="26" spans="1:14" x14ac:dyDescent="0.3">
      <c r="A26" s="3" t="s">
        <v>36</v>
      </c>
      <c r="B26" s="24">
        <v>400</v>
      </c>
      <c r="C26" s="24">
        <v>400</v>
      </c>
      <c r="D26" s="24">
        <v>400</v>
      </c>
      <c r="E26" s="24">
        <v>400</v>
      </c>
      <c r="F26" s="24">
        <v>400</v>
      </c>
      <c r="G26" s="24">
        <v>400</v>
      </c>
      <c r="H26" s="24">
        <v>400</v>
      </c>
      <c r="I26" s="24">
        <v>400</v>
      </c>
      <c r="J26" s="24">
        <v>400</v>
      </c>
      <c r="K26" s="24">
        <v>400</v>
      </c>
      <c r="L26" s="24">
        <v>400</v>
      </c>
      <c r="M26" s="24">
        <v>400</v>
      </c>
      <c r="N26" s="24">
        <f t="shared" si="1"/>
        <v>4800</v>
      </c>
    </row>
    <row r="27" spans="1:14" x14ac:dyDescent="0.3">
      <c r="A27" s="3" t="s">
        <v>37</v>
      </c>
      <c r="B27" s="24">
        <f>240*B8</f>
        <v>100800</v>
      </c>
      <c r="C27" s="24">
        <f t="shared" ref="C27:M27" si="8">240*C8</f>
        <v>96000</v>
      </c>
      <c r="D27" s="24">
        <f t="shared" si="8"/>
        <v>108000</v>
      </c>
      <c r="E27" s="24">
        <f t="shared" si="8"/>
        <v>108000</v>
      </c>
      <c r="F27" s="24">
        <f t="shared" si="8"/>
        <v>114000</v>
      </c>
      <c r="G27" s="24">
        <f t="shared" si="8"/>
        <v>120000</v>
      </c>
      <c r="H27" s="24">
        <f t="shared" si="8"/>
        <v>118800</v>
      </c>
      <c r="I27" s="24">
        <f t="shared" si="8"/>
        <v>118800</v>
      </c>
      <c r="J27" s="24">
        <f t="shared" si="8"/>
        <v>117600</v>
      </c>
      <c r="K27" s="24">
        <f t="shared" si="8"/>
        <v>112800</v>
      </c>
      <c r="L27" s="24">
        <f t="shared" si="8"/>
        <v>108000</v>
      </c>
      <c r="M27" s="24">
        <f t="shared" si="8"/>
        <v>105600</v>
      </c>
      <c r="N27" s="24">
        <f t="shared" si="1"/>
        <v>1328400</v>
      </c>
    </row>
    <row r="28" spans="1:14" x14ac:dyDescent="0.3">
      <c r="A28" s="3" t="s">
        <v>38</v>
      </c>
      <c r="B28" s="24">
        <f>B7*0.4*0.08</f>
        <v>10483.200000000001</v>
      </c>
      <c r="C28" s="24">
        <f t="shared" ref="C28:M28" si="9">C7*0.4*0.08</f>
        <v>9984</v>
      </c>
      <c r="D28" s="24">
        <f t="shared" si="9"/>
        <v>11232</v>
      </c>
      <c r="E28" s="24">
        <f t="shared" si="9"/>
        <v>11232</v>
      </c>
      <c r="F28" s="24">
        <f t="shared" si="9"/>
        <v>11856</v>
      </c>
      <c r="G28" s="24">
        <f t="shared" si="9"/>
        <v>12480</v>
      </c>
      <c r="H28" s="24">
        <f t="shared" si="9"/>
        <v>12355.2</v>
      </c>
      <c r="I28" s="24">
        <f t="shared" si="9"/>
        <v>12355.2</v>
      </c>
      <c r="J28" s="24">
        <f t="shared" si="9"/>
        <v>12230.4</v>
      </c>
      <c r="K28" s="24">
        <f t="shared" si="9"/>
        <v>11731.2</v>
      </c>
      <c r="L28" s="24">
        <f t="shared" si="9"/>
        <v>11232</v>
      </c>
      <c r="M28" s="24">
        <f t="shared" si="9"/>
        <v>10982.4</v>
      </c>
      <c r="N28" s="24">
        <f t="shared" si="1"/>
        <v>138153.59999999998</v>
      </c>
    </row>
    <row r="29" spans="1:14" x14ac:dyDescent="0.3">
      <c r="A29" s="3" t="s">
        <v>39</v>
      </c>
      <c r="B29" s="25">
        <v>1600</v>
      </c>
      <c r="C29" s="25">
        <v>1600</v>
      </c>
      <c r="D29" s="25">
        <v>1500</v>
      </c>
      <c r="E29" s="25">
        <v>1500</v>
      </c>
      <c r="F29" s="25">
        <v>1700</v>
      </c>
      <c r="G29" s="25">
        <v>2000</v>
      </c>
      <c r="H29" s="25">
        <v>2400</v>
      </c>
      <c r="I29" s="25">
        <v>2700</v>
      </c>
      <c r="J29" s="25">
        <v>2500</v>
      </c>
      <c r="K29" s="25">
        <v>2000</v>
      </c>
      <c r="L29" s="25">
        <v>1700</v>
      </c>
      <c r="M29" s="25">
        <v>1600</v>
      </c>
      <c r="N29" s="25">
        <f t="shared" si="1"/>
        <v>22800</v>
      </c>
    </row>
    <row r="30" spans="1:14" x14ac:dyDescent="0.3">
      <c r="A30" s="4" t="s">
        <v>40</v>
      </c>
      <c r="B30" s="25">
        <f>SUM(B13:B29)</f>
        <v>221689.2</v>
      </c>
      <c r="C30" s="25">
        <f t="shared" ref="C30:M30" si="10">SUM(C13:C29)</f>
        <v>212430</v>
      </c>
      <c r="D30" s="25">
        <f t="shared" si="10"/>
        <v>235478</v>
      </c>
      <c r="E30" s="25">
        <f t="shared" si="10"/>
        <v>235478</v>
      </c>
      <c r="F30" s="25">
        <f t="shared" si="10"/>
        <v>247252</v>
      </c>
      <c r="G30" s="25">
        <f t="shared" si="10"/>
        <v>259126</v>
      </c>
      <c r="H30" s="25">
        <f t="shared" si="10"/>
        <v>257211.2</v>
      </c>
      <c r="I30" s="25">
        <f t="shared" si="10"/>
        <v>257511.2</v>
      </c>
      <c r="J30" s="25">
        <f t="shared" si="10"/>
        <v>254996.4</v>
      </c>
      <c r="K30" s="25">
        <f t="shared" si="10"/>
        <v>245237.2</v>
      </c>
      <c r="L30" s="25">
        <f t="shared" si="10"/>
        <v>235678</v>
      </c>
      <c r="M30" s="25">
        <f t="shared" si="10"/>
        <v>230948.4</v>
      </c>
      <c r="N30" s="25">
        <f t="shared" si="1"/>
        <v>2893035.6</v>
      </c>
    </row>
    <row r="31" spans="1:14" x14ac:dyDescent="0.3">
      <c r="A31" s="4" t="s">
        <v>41</v>
      </c>
      <c r="B31" s="24">
        <f>B11-B30</f>
        <v>14182.799999999988</v>
      </c>
      <c r="C31" s="24">
        <f t="shared" ref="C31:M31" si="11">C11-C30</f>
        <v>12210</v>
      </c>
      <c r="D31" s="24">
        <f t="shared" si="11"/>
        <v>17242</v>
      </c>
      <c r="E31" s="24">
        <f t="shared" si="11"/>
        <v>17242</v>
      </c>
      <c r="F31" s="24">
        <f t="shared" si="11"/>
        <v>19508</v>
      </c>
      <c r="G31" s="24">
        <f t="shared" si="11"/>
        <v>21674</v>
      </c>
      <c r="H31" s="24">
        <f t="shared" si="11"/>
        <v>20780.799999999988</v>
      </c>
      <c r="I31" s="24">
        <f t="shared" si="11"/>
        <v>20480.799999999988</v>
      </c>
      <c r="J31" s="24">
        <f t="shared" si="11"/>
        <v>20187.600000000006</v>
      </c>
      <c r="K31" s="24">
        <f t="shared" si="11"/>
        <v>18714.799999999988</v>
      </c>
      <c r="L31" s="24">
        <f t="shared" si="11"/>
        <v>17042</v>
      </c>
      <c r="M31" s="24">
        <f t="shared" si="11"/>
        <v>16155.600000000006</v>
      </c>
      <c r="N31" s="24">
        <f t="shared" si="1"/>
        <v>215420.39999999997</v>
      </c>
    </row>
    <row r="32" spans="1:14" x14ac:dyDescent="0.3">
      <c r="A32" s="3"/>
    </row>
    <row r="33" spans="1:14" x14ac:dyDescent="0.3">
      <c r="A33" s="3" t="s">
        <v>66</v>
      </c>
      <c r="B33">
        <f>593+820+580+911+1046+1511</f>
        <v>5461</v>
      </c>
      <c r="C33">
        <f t="shared" ref="C33:M33" si="12">593+820+580+911+1046+1511</f>
        <v>5461</v>
      </c>
      <c r="D33">
        <f t="shared" si="12"/>
        <v>5461</v>
      </c>
      <c r="E33">
        <f t="shared" si="12"/>
        <v>5461</v>
      </c>
      <c r="F33">
        <f t="shared" si="12"/>
        <v>5461</v>
      </c>
      <c r="G33">
        <f t="shared" si="12"/>
        <v>5461</v>
      </c>
      <c r="H33">
        <f t="shared" si="12"/>
        <v>5461</v>
      </c>
      <c r="I33">
        <f t="shared" si="12"/>
        <v>5461</v>
      </c>
      <c r="J33">
        <f t="shared" si="12"/>
        <v>5461</v>
      </c>
      <c r="K33">
        <f t="shared" si="12"/>
        <v>5461</v>
      </c>
      <c r="L33">
        <f t="shared" si="12"/>
        <v>5461</v>
      </c>
      <c r="M33">
        <f t="shared" si="12"/>
        <v>5461</v>
      </c>
      <c r="N33">
        <f>SUM(B33:M33)</f>
        <v>65532</v>
      </c>
    </row>
    <row r="34" spans="1:14" x14ac:dyDescent="0.3">
      <c r="A34" s="3" t="s">
        <v>67</v>
      </c>
      <c r="B34" s="17">
        <v>2268</v>
      </c>
      <c r="C34" s="17">
        <v>2268</v>
      </c>
      <c r="D34" s="17">
        <v>2268</v>
      </c>
      <c r="E34" s="17">
        <v>2268</v>
      </c>
      <c r="F34" s="17">
        <v>2268</v>
      </c>
      <c r="G34" s="17">
        <v>2268</v>
      </c>
      <c r="H34" s="17">
        <v>2268</v>
      </c>
      <c r="I34" s="17">
        <v>2268</v>
      </c>
      <c r="J34" s="17">
        <v>2268</v>
      </c>
      <c r="K34" s="17">
        <v>2268</v>
      </c>
      <c r="L34" s="17">
        <v>2268</v>
      </c>
      <c r="M34" s="17">
        <v>2268</v>
      </c>
      <c r="N34" s="17">
        <f>SUM(B34:M34)</f>
        <v>27216</v>
      </c>
    </row>
    <row r="35" spans="1:14" x14ac:dyDescent="0.3">
      <c r="A35" s="3"/>
    </row>
    <row r="36" spans="1:14" x14ac:dyDescent="0.3">
      <c r="A36" s="5" t="s">
        <v>70</v>
      </c>
      <c r="B36" s="26">
        <f>B31-B33-B34</f>
        <v>6453.7999999999884</v>
      </c>
      <c r="C36" s="26">
        <f t="shared" ref="C36:N36" si="13">C31-C33-C34</f>
        <v>4481</v>
      </c>
      <c r="D36" s="26">
        <f t="shared" si="13"/>
        <v>9513</v>
      </c>
      <c r="E36" s="26">
        <f t="shared" si="13"/>
        <v>9513</v>
      </c>
      <c r="F36" s="26">
        <f t="shared" si="13"/>
        <v>11779</v>
      </c>
      <c r="G36" s="26">
        <f t="shared" si="13"/>
        <v>13945</v>
      </c>
      <c r="H36" s="26">
        <f t="shared" si="13"/>
        <v>13051.799999999988</v>
      </c>
      <c r="I36" s="26">
        <f t="shared" si="13"/>
        <v>12751.799999999988</v>
      </c>
      <c r="J36" s="26">
        <f t="shared" si="13"/>
        <v>12458.600000000006</v>
      </c>
      <c r="K36" s="26">
        <f t="shared" si="13"/>
        <v>10985.799999999988</v>
      </c>
      <c r="L36" s="26">
        <f t="shared" si="13"/>
        <v>9313</v>
      </c>
      <c r="M36" s="26">
        <f t="shared" si="13"/>
        <v>8426.6000000000058</v>
      </c>
      <c r="N36" s="26">
        <f t="shared" si="13"/>
        <v>122672.39999999997</v>
      </c>
    </row>
    <row r="37" spans="1:14" x14ac:dyDescent="0.3">
      <c r="A37" s="6"/>
    </row>
    <row r="38" spans="1:14" x14ac:dyDescent="0.3">
      <c r="A38" s="1" t="s">
        <v>72</v>
      </c>
      <c r="E38">
        <v>20000</v>
      </c>
      <c r="H38">
        <v>25000</v>
      </c>
      <c r="K38">
        <v>25000</v>
      </c>
      <c r="M38">
        <v>20000</v>
      </c>
      <c r="N38">
        <f>SUM(D38:M38)</f>
        <v>90000</v>
      </c>
    </row>
    <row r="39" spans="1:14" x14ac:dyDescent="0.3">
      <c r="A39" s="1" t="s">
        <v>73</v>
      </c>
      <c r="B39" s="17"/>
      <c r="C39" s="17"/>
      <c r="D39" s="17">
        <v>6000</v>
      </c>
      <c r="E39" s="17"/>
      <c r="F39" s="17"/>
      <c r="G39" s="17">
        <v>6000</v>
      </c>
      <c r="H39" s="17"/>
      <c r="I39" s="17"/>
      <c r="J39" s="17">
        <v>6000</v>
      </c>
      <c r="K39" s="17"/>
      <c r="L39" s="17">
        <v>6000</v>
      </c>
      <c r="M39" s="17"/>
      <c r="N39" s="17">
        <f>SUM(D39:M39)</f>
        <v>24000</v>
      </c>
    </row>
    <row r="40" spans="1:14" x14ac:dyDescent="0.3">
      <c r="A40" s="1" t="s">
        <v>74</v>
      </c>
      <c r="B40" s="26">
        <f>B36-B38-B39</f>
        <v>6453.7999999999884</v>
      </c>
      <c r="C40" s="26">
        <f t="shared" ref="C40:N40" si="14">C36-C38-C39</f>
        <v>4481</v>
      </c>
      <c r="D40" s="26">
        <f t="shared" si="14"/>
        <v>3513</v>
      </c>
      <c r="E40" s="26">
        <f t="shared" si="14"/>
        <v>-10487</v>
      </c>
      <c r="F40" s="26">
        <f t="shared" si="14"/>
        <v>11779</v>
      </c>
      <c r="G40" s="26">
        <f t="shared" si="14"/>
        <v>7945</v>
      </c>
      <c r="H40" s="26">
        <f t="shared" si="14"/>
        <v>-11948.200000000012</v>
      </c>
      <c r="I40" s="26">
        <f t="shared" si="14"/>
        <v>12751.799999999988</v>
      </c>
      <c r="J40" s="26">
        <f t="shared" si="14"/>
        <v>6458.6000000000058</v>
      </c>
      <c r="K40" s="26">
        <f t="shared" si="14"/>
        <v>-14014.200000000012</v>
      </c>
      <c r="L40" s="26">
        <f t="shared" si="14"/>
        <v>3313</v>
      </c>
      <c r="M40" s="26">
        <f t="shared" si="14"/>
        <v>-11573.399999999994</v>
      </c>
      <c r="N40" s="26">
        <f t="shared" si="14"/>
        <v>8672.3999999999651</v>
      </c>
    </row>
    <row r="41" spans="1:14" x14ac:dyDescent="0.3">
      <c r="A41" s="3"/>
    </row>
    <row r="42" spans="1:14" x14ac:dyDescent="0.3">
      <c r="A42" s="3"/>
    </row>
    <row r="43" spans="1:14" x14ac:dyDescent="0.3">
      <c r="A43" s="3"/>
      <c r="M43" s="26"/>
    </row>
    <row r="44" spans="1:14" x14ac:dyDescent="0.3">
      <c r="A44" s="3"/>
    </row>
    <row r="45" spans="1:14" x14ac:dyDescent="0.3">
      <c r="A45" s="3"/>
    </row>
    <row r="46" spans="1:14" x14ac:dyDescent="0.3">
      <c r="A46" s="3"/>
    </row>
    <row r="47" spans="1:14" x14ac:dyDescent="0.3">
      <c r="A47" s="4"/>
    </row>
    <row r="48" spans="1:14" x14ac:dyDescent="0.3">
      <c r="A48" s="4"/>
    </row>
    <row r="49" spans="1:1" x14ac:dyDescent="0.3">
      <c r="A49" s="4"/>
    </row>
    <row r="50" spans="1:1" x14ac:dyDescent="0.3">
      <c r="A50" s="4"/>
    </row>
    <row r="54" spans="1:1" x14ac:dyDescent="0.3">
      <c r="A54"/>
    </row>
  </sheetData>
  <pageMargins left="0.7" right="0.7" top="0.75" bottom="0.75" header="0.3" footer="0.3"/>
  <pageSetup scale="65" fitToHeight="0" orientation="landscape" horizontalDpi="0" verticalDpi="0" r:id="rId1"/>
  <headerFooter>
    <oddHeader xml:space="preserve">&amp;CAuto Glass 2020
Plan for 2029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44C5-F84A-49FB-B134-5CA4103AEE7B}">
  <sheetPr>
    <pageSetUpPr fitToPage="1"/>
  </sheetPr>
  <dimension ref="A1:O54"/>
  <sheetViews>
    <sheetView view="pageLayout" topLeftCell="A13" zoomScaleNormal="100" workbookViewId="0">
      <selection activeCell="H39" sqref="H39"/>
    </sheetView>
  </sheetViews>
  <sheetFormatPr defaultRowHeight="15.6" x14ac:dyDescent="0.3"/>
  <cols>
    <col min="1" max="1" width="25.5" style="1" customWidth="1"/>
    <col min="2" max="2" width="11.09765625" bestFit="1" customWidth="1"/>
    <col min="12" max="12" width="12.796875" customWidth="1"/>
    <col min="14" max="14" width="13.5" customWidth="1"/>
  </cols>
  <sheetData>
    <row r="1" spans="1:15" x14ac:dyDescent="0.3">
      <c r="A1"/>
    </row>
    <row r="2" spans="1:15" x14ac:dyDescent="0.3">
      <c r="A2"/>
    </row>
    <row r="3" spans="1:15" x14ac:dyDescent="0.3">
      <c r="A3"/>
    </row>
    <row r="4" spans="1:15" x14ac:dyDescent="0.3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>
        <v>2030</v>
      </c>
    </row>
    <row r="5" spans="1:15" x14ac:dyDescent="0.3">
      <c r="A5" s="7" t="s">
        <v>44</v>
      </c>
      <c r="B5" s="13" t="s">
        <v>50</v>
      </c>
      <c r="C5" s="13" t="s">
        <v>51</v>
      </c>
      <c r="D5" s="13" t="s">
        <v>52</v>
      </c>
      <c r="E5" s="13" t="s">
        <v>53</v>
      </c>
      <c r="F5" s="13" t="s">
        <v>54</v>
      </c>
      <c r="G5" s="13" t="s">
        <v>55</v>
      </c>
      <c r="H5" s="13" t="s">
        <v>56</v>
      </c>
      <c r="I5" s="13" t="s">
        <v>57</v>
      </c>
      <c r="J5" s="13" t="s">
        <v>58</v>
      </c>
      <c r="K5" s="13" t="s">
        <v>59</v>
      </c>
      <c r="L5" s="13" t="s">
        <v>60</v>
      </c>
      <c r="M5" s="13" t="s">
        <v>61</v>
      </c>
      <c r="N5" s="13" t="s">
        <v>62</v>
      </c>
    </row>
    <row r="6" spans="1:15" x14ac:dyDescent="0.3">
      <c r="A6" s="3"/>
    </row>
    <row r="7" spans="1:15" x14ac:dyDescent="0.3">
      <c r="A7" s="4" t="s">
        <v>7</v>
      </c>
      <c r="B7" s="24">
        <f>B8*790</f>
        <v>347600</v>
      </c>
      <c r="C7" s="24">
        <f t="shared" ref="C7:M7" si="0">C8*790</f>
        <v>347600</v>
      </c>
      <c r="D7" s="24">
        <f t="shared" si="0"/>
        <v>371300</v>
      </c>
      <c r="E7" s="24">
        <f t="shared" si="0"/>
        <v>371300</v>
      </c>
      <c r="F7" s="24">
        <f t="shared" si="0"/>
        <v>395000</v>
      </c>
      <c r="G7" s="24">
        <f t="shared" si="0"/>
        <v>414750</v>
      </c>
      <c r="H7" s="24">
        <f t="shared" si="0"/>
        <v>418700</v>
      </c>
      <c r="I7" s="24">
        <f t="shared" si="0"/>
        <v>418700</v>
      </c>
      <c r="J7" s="24">
        <f t="shared" si="0"/>
        <v>414750</v>
      </c>
      <c r="K7" s="24">
        <f t="shared" si="0"/>
        <v>391050</v>
      </c>
      <c r="L7" s="24">
        <f t="shared" si="0"/>
        <v>371300</v>
      </c>
      <c r="M7" s="24">
        <f t="shared" si="0"/>
        <v>367350</v>
      </c>
      <c r="N7" s="24">
        <f>SUM(B7:M7)</f>
        <v>4629400</v>
      </c>
      <c r="O7" s="24"/>
    </row>
    <row r="8" spans="1:15" x14ac:dyDescent="0.3">
      <c r="A8" s="4" t="s">
        <v>49</v>
      </c>
      <c r="B8" s="24">
        <v>440</v>
      </c>
      <c r="C8" s="24">
        <v>440</v>
      </c>
      <c r="D8" s="24">
        <v>470</v>
      </c>
      <c r="E8" s="24">
        <v>470</v>
      </c>
      <c r="F8" s="24">
        <v>500</v>
      </c>
      <c r="G8" s="24">
        <v>525</v>
      </c>
      <c r="H8" s="24">
        <v>530</v>
      </c>
      <c r="I8" s="24">
        <v>530</v>
      </c>
      <c r="J8" s="24">
        <v>525</v>
      </c>
      <c r="K8" s="24">
        <v>495</v>
      </c>
      <c r="L8" s="24">
        <v>470</v>
      </c>
      <c r="M8" s="24">
        <v>465</v>
      </c>
      <c r="N8" s="24">
        <f>SUM(B8:M8)</f>
        <v>5860</v>
      </c>
      <c r="O8" s="24"/>
    </row>
    <row r="9" spans="1:15" x14ac:dyDescent="0.3">
      <c r="A9" s="6" t="s">
        <v>11</v>
      </c>
      <c r="B9" s="24">
        <f>B7*0.28</f>
        <v>97328.000000000015</v>
      </c>
      <c r="C9" s="24">
        <f t="shared" ref="C9:M9" si="1">C7*0.28</f>
        <v>97328.000000000015</v>
      </c>
      <c r="D9" s="24">
        <f t="shared" si="1"/>
        <v>103964.00000000001</v>
      </c>
      <c r="E9" s="24">
        <f t="shared" si="1"/>
        <v>103964.00000000001</v>
      </c>
      <c r="F9" s="24">
        <f t="shared" si="1"/>
        <v>110600.00000000001</v>
      </c>
      <c r="G9" s="24">
        <f t="shared" si="1"/>
        <v>116130.00000000001</v>
      </c>
      <c r="H9" s="24">
        <f t="shared" si="1"/>
        <v>117236.00000000001</v>
      </c>
      <c r="I9" s="24">
        <f t="shared" si="1"/>
        <v>117236.00000000001</v>
      </c>
      <c r="J9" s="24">
        <f t="shared" si="1"/>
        <v>116130.00000000001</v>
      </c>
      <c r="K9" s="24">
        <f t="shared" si="1"/>
        <v>109494.00000000001</v>
      </c>
      <c r="L9" s="24">
        <f t="shared" si="1"/>
        <v>103964.00000000001</v>
      </c>
      <c r="M9" s="24">
        <f t="shared" si="1"/>
        <v>102858.00000000001</v>
      </c>
      <c r="N9" s="24">
        <f>SUM(B9:M9)</f>
        <v>1296232.0000000002</v>
      </c>
      <c r="O9" s="24"/>
    </row>
    <row r="10" spans="1:15" x14ac:dyDescent="0.3">
      <c r="A10" s="4" t="s">
        <v>11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</row>
    <row r="11" spans="1:15" x14ac:dyDescent="0.3">
      <c r="A11" s="4" t="s">
        <v>12</v>
      </c>
      <c r="B11" s="24">
        <f t="shared" ref="B11:N11" si="2">B7-B9</f>
        <v>250272</v>
      </c>
      <c r="C11" s="24">
        <f t="shared" si="2"/>
        <v>250272</v>
      </c>
      <c r="D11" s="24">
        <f t="shared" si="2"/>
        <v>267336</v>
      </c>
      <c r="E11" s="24">
        <f t="shared" si="2"/>
        <v>267336</v>
      </c>
      <c r="F11" s="24">
        <f t="shared" si="2"/>
        <v>284400</v>
      </c>
      <c r="G11" s="24">
        <f t="shared" si="2"/>
        <v>298620</v>
      </c>
      <c r="H11" s="24">
        <f t="shared" si="2"/>
        <v>301464</v>
      </c>
      <c r="I11" s="24">
        <f t="shared" si="2"/>
        <v>301464</v>
      </c>
      <c r="J11" s="24">
        <f t="shared" si="2"/>
        <v>298620</v>
      </c>
      <c r="K11" s="24">
        <f t="shared" si="2"/>
        <v>281556</v>
      </c>
      <c r="L11" s="24">
        <f t="shared" si="2"/>
        <v>267336</v>
      </c>
      <c r="M11" s="24">
        <f t="shared" si="2"/>
        <v>264492</v>
      </c>
      <c r="N11" s="24">
        <f t="shared" si="2"/>
        <v>3333168</v>
      </c>
      <c r="O11" s="24"/>
    </row>
    <row r="12" spans="1:15" x14ac:dyDescent="0.3">
      <c r="A12" s="2" t="s">
        <v>13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</row>
    <row r="13" spans="1:15" x14ac:dyDescent="0.3">
      <c r="A13" s="3" t="s">
        <v>14</v>
      </c>
      <c r="B13" s="24">
        <f>B8*140</f>
        <v>61600</v>
      </c>
      <c r="C13" s="24">
        <f t="shared" ref="C13:M13" si="3">C8*140</f>
        <v>61600</v>
      </c>
      <c r="D13" s="24">
        <f t="shared" si="3"/>
        <v>65800</v>
      </c>
      <c r="E13" s="24">
        <f t="shared" si="3"/>
        <v>65800</v>
      </c>
      <c r="F13" s="24">
        <f t="shared" si="3"/>
        <v>70000</v>
      </c>
      <c r="G13" s="24">
        <f t="shared" si="3"/>
        <v>73500</v>
      </c>
      <c r="H13" s="24">
        <f t="shared" si="3"/>
        <v>74200</v>
      </c>
      <c r="I13" s="24">
        <f t="shared" si="3"/>
        <v>74200</v>
      </c>
      <c r="J13" s="24">
        <f t="shared" si="3"/>
        <v>73500</v>
      </c>
      <c r="K13" s="24">
        <f t="shared" si="3"/>
        <v>69300</v>
      </c>
      <c r="L13" s="24">
        <f t="shared" si="3"/>
        <v>65800</v>
      </c>
      <c r="M13" s="24">
        <f t="shared" si="3"/>
        <v>65100</v>
      </c>
      <c r="N13" s="24">
        <f>SUM(B13:M13)</f>
        <v>820400</v>
      </c>
      <c r="O13" s="24"/>
    </row>
    <row r="14" spans="1:15" x14ac:dyDescent="0.3">
      <c r="A14" s="3" t="s">
        <v>16</v>
      </c>
      <c r="B14" s="24">
        <v>330</v>
      </c>
      <c r="C14" s="24">
        <v>330</v>
      </c>
      <c r="D14" s="24">
        <v>330</v>
      </c>
      <c r="E14" s="24">
        <v>330</v>
      </c>
      <c r="F14" s="24">
        <v>330</v>
      </c>
      <c r="G14" s="24">
        <v>330</v>
      </c>
      <c r="H14" s="24">
        <v>330</v>
      </c>
      <c r="I14" s="24">
        <v>330</v>
      </c>
      <c r="J14" s="24">
        <v>330</v>
      </c>
      <c r="K14" s="24">
        <v>330</v>
      </c>
      <c r="L14" s="24">
        <v>330</v>
      </c>
      <c r="M14" s="24">
        <v>330</v>
      </c>
      <c r="N14" s="24">
        <f t="shared" ref="N14:N29" si="4">SUM(B14:M14)</f>
        <v>3960</v>
      </c>
      <c r="O14" s="24"/>
    </row>
    <row r="15" spans="1:15" x14ac:dyDescent="0.3">
      <c r="A15" s="6" t="s">
        <v>20</v>
      </c>
      <c r="B15" s="24">
        <f t="shared" ref="B15:M15" si="5">9*B8</f>
        <v>3960</v>
      </c>
      <c r="C15" s="24">
        <f t="shared" si="5"/>
        <v>3960</v>
      </c>
      <c r="D15" s="24">
        <f t="shared" si="5"/>
        <v>4230</v>
      </c>
      <c r="E15" s="24">
        <f t="shared" si="5"/>
        <v>4230</v>
      </c>
      <c r="F15" s="24">
        <f t="shared" si="5"/>
        <v>4500</v>
      </c>
      <c r="G15" s="24">
        <f t="shared" si="5"/>
        <v>4725</v>
      </c>
      <c r="H15" s="24">
        <f t="shared" si="5"/>
        <v>4770</v>
      </c>
      <c r="I15" s="24">
        <f t="shared" si="5"/>
        <v>4770</v>
      </c>
      <c r="J15" s="24">
        <f t="shared" si="5"/>
        <v>4725</v>
      </c>
      <c r="K15" s="24">
        <f t="shared" si="5"/>
        <v>4455</v>
      </c>
      <c r="L15" s="24">
        <f t="shared" si="5"/>
        <v>4230</v>
      </c>
      <c r="M15" s="24">
        <f t="shared" si="5"/>
        <v>4185</v>
      </c>
      <c r="N15" s="24">
        <f t="shared" si="4"/>
        <v>52740</v>
      </c>
      <c r="O15" s="24"/>
    </row>
    <row r="16" spans="1:15" x14ac:dyDescent="0.3">
      <c r="A16" s="3" t="s">
        <v>21</v>
      </c>
      <c r="B16" s="24">
        <v>1600</v>
      </c>
      <c r="C16" s="24">
        <v>1600</v>
      </c>
      <c r="D16" s="24">
        <v>1600</v>
      </c>
      <c r="E16" s="24">
        <v>1600</v>
      </c>
      <c r="F16" s="24">
        <v>1600</v>
      </c>
      <c r="G16" s="24">
        <v>1600</v>
      </c>
      <c r="H16" s="24">
        <v>1600</v>
      </c>
      <c r="I16" s="24">
        <v>1600</v>
      </c>
      <c r="J16" s="24">
        <v>1600</v>
      </c>
      <c r="K16" s="24">
        <v>1600</v>
      </c>
      <c r="L16" s="24">
        <v>1600</v>
      </c>
      <c r="M16" s="24">
        <v>1600</v>
      </c>
      <c r="N16" s="24">
        <f t="shared" si="4"/>
        <v>19200</v>
      </c>
      <c r="O16" s="24"/>
    </row>
    <row r="17" spans="1:15" x14ac:dyDescent="0.3">
      <c r="A17" s="3" t="s">
        <v>22</v>
      </c>
      <c r="B17" s="24">
        <v>8000</v>
      </c>
      <c r="C17" s="24">
        <v>8000</v>
      </c>
      <c r="D17" s="24">
        <v>8000</v>
      </c>
      <c r="E17" s="24">
        <v>8000</v>
      </c>
      <c r="F17" s="24">
        <v>8000</v>
      </c>
      <c r="G17" s="24">
        <v>8000</v>
      </c>
      <c r="H17" s="24">
        <v>8000</v>
      </c>
      <c r="I17" s="24">
        <v>8000</v>
      </c>
      <c r="J17" s="24">
        <v>8000</v>
      </c>
      <c r="K17" s="24">
        <v>8000</v>
      </c>
      <c r="L17" s="24">
        <v>8000</v>
      </c>
      <c r="M17" s="24">
        <v>8000</v>
      </c>
      <c r="N17" s="24">
        <f t="shared" si="4"/>
        <v>96000</v>
      </c>
      <c r="O17" s="24"/>
    </row>
    <row r="18" spans="1:15" x14ac:dyDescent="0.3">
      <c r="A18" s="3" t="s">
        <v>23</v>
      </c>
      <c r="B18" s="24">
        <f t="shared" ref="B18:M18" si="6">49*B8</f>
        <v>21560</v>
      </c>
      <c r="C18" s="24">
        <f t="shared" si="6"/>
        <v>21560</v>
      </c>
      <c r="D18" s="24">
        <f t="shared" si="6"/>
        <v>23030</v>
      </c>
      <c r="E18" s="24">
        <f t="shared" si="6"/>
        <v>23030</v>
      </c>
      <c r="F18" s="24">
        <f t="shared" si="6"/>
        <v>24500</v>
      </c>
      <c r="G18" s="24">
        <f t="shared" si="6"/>
        <v>25725</v>
      </c>
      <c r="H18" s="24">
        <f t="shared" si="6"/>
        <v>25970</v>
      </c>
      <c r="I18" s="24">
        <f t="shared" si="6"/>
        <v>25970</v>
      </c>
      <c r="J18" s="24">
        <f t="shared" si="6"/>
        <v>25725</v>
      </c>
      <c r="K18" s="24">
        <f t="shared" si="6"/>
        <v>24255</v>
      </c>
      <c r="L18" s="24">
        <f t="shared" si="6"/>
        <v>23030</v>
      </c>
      <c r="M18" s="24">
        <f t="shared" si="6"/>
        <v>22785</v>
      </c>
      <c r="N18" s="24">
        <f t="shared" si="4"/>
        <v>287140</v>
      </c>
      <c r="O18" s="24"/>
    </row>
    <row r="19" spans="1:15" x14ac:dyDescent="0.3">
      <c r="A19" s="3" t="s">
        <v>24</v>
      </c>
      <c r="B19" s="24">
        <v>3100</v>
      </c>
      <c r="C19" s="24">
        <v>3100</v>
      </c>
      <c r="D19" s="24">
        <v>3100</v>
      </c>
      <c r="E19" s="24">
        <v>3100</v>
      </c>
      <c r="F19" s="24">
        <v>3100</v>
      </c>
      <c r="G19" s="24">
        <v>3100</v>
      </c>
      <c r="H19" s="24">
        <v>3100</v>
      </c>
      <c r="I19" s="24">
        <v>3100</v>
      </c>
      <c r="J19" s="24">
        <v>3100</v>
      </c>
      <c r="K19" s="24">
        <v>3100</v>
      </c>
      <c r="L19" s="24">
        <v>3100</v>
      </c>
      <c r="M19" s="24">
        <v>3100</v>
      </c>
      <c r="N19" s="24">
        <f t="shared" si="4"/>
        <v>37200</v>
      </c>
      <c r="O19" s="24"/>
    </row>
    <row r="20" spans="1:15" x14ac:dyDescent="0.3">
      <c r="A20" s="3" t="s">
        <v>25</v>
      </c>
      <c r="B20" s="24">
        <v>5000</v>
      </c>
      <c r="C20" s="24">
        <v>5000</v>
      </c>
      <c r="D20" s="24">
        <v>5000</v>
      </c>
      <c r="E20" s="24">
        <v>5000</v>
      </c>
      <c r="F20" s="24">
        <v>5000</v>
      </c>
      <c r="G20" s="24">
        <v>5000</v>
      </c>
      <c r="H20" s="24">
        <v>5000</v>
      </c>
      <c r="I20" s="24">
        <v>5000</v>
      </c>
      <c r="J20" s="24">
        <v>5000</v>
      </c>
      <c r="K20" s="24">
        <v>5000</v>
      </c>
      <c r="L20" s="24">
        <v>5000</v>
      </c>
      <c r="M20" s="24">
        <v>5000</v>
      </c>
      <c r="N20" s="24">
        <f t="shared" si="4"/>
        <v>60000</v>
      </c>
      <c r="O20" s="24"/>
    </row>
    <row r="21" spans="1:15" x14ac:dyDescent="0.3">
      <c r="A21" s="3" t="s">
        <v>26</v>
      </c>
      <c r="B21" s="24">
        <f t="shared" ref="B21:M21" si="7">5700*1.03</f>
        <v>5871</v>
      </c>
      <c r="C21" s="24">
        <f t="shared" si="7"/>
        <v>5871</v>
      </c>
      <c r="D21" s="24">
        <f t="shared" si="7"/>
        <v>5871</v>
      </c>
      <c r="E21" s="24">
        <f t="shared" si="7"/>
        <v>5871</v>
      </c>
      <c r="F21" s="24">
        <f t="shared" si="7"/>
        <v>5871</v>
      </c>
      <c r="G21" s="24">
        <f t="shared" si="7"/>
        <v>5871</v>
      </c>
      <c r="H21" s="24">
        <f t="shared" si="7"/>
        <v>5871</v>
      </c>
      <c r="I21" s="24">
        <f t="shared" si="7"/>
        <v>5871</v>
      </c>
      <c r="J21" s="24">
        <f t="shared" si="7"/>
        <v>5871</v>
      </c>
      <c r="K21" s="24">
        <f t="shared" si="7"/>
        <v>5871</v>
      </c>
      <c r="L21" s="24">
        <f t="shared" si="7"/>
        <v>5871</v>
      </c>
      <c r="M21" s="24">
        <f t="shared" si="7"/>
        <v>5871</v>
      </c>
      <c r="N21" s="24">
        <f t="shared" si="4"/>
        <v>70452</v>
      </c>
      <c r="O21" s="24"/>
    </row>
    <row r="22" spans="1:15" x14ac:dyDescent="0.3">
      <c r="A22" s="3" t="s">
        <v>27</v>
      </c>
      <c r="B22" s="24">
        <v>800</v>
      </c>
      <c r="C22" s="24">
        <v>800</v>
      </c>
      <c r="D22" s="24">
        <v>800</v>
      </c>
      <c r="E22" s="24">
        <v>800</v>
      </c>
      <c r="F22" s="24">
        <v>800</v>
      </c>
      <c r="G22" s="24">
        <v>800</v>
      </c>
      <c r="H22" s="24">
        <v>800</v>
      </c>
      <c r="I22" s="24">
        <v>800</v>
      </c>
      <c r="J22" s="24">
        <v>800</v>
      </c>
      <c r="K22" s="24">
        <v>800</v>
      </c>
      <c r="L22" s="24">
        <v>800</v>
      </c>
      <c r="M22" s="24">
        <v>800</v>
      </c>
      <c r="N22" s="24">
        <f t="shared" si="4"/>
        <v>9600</v>
      </c>
      <c r="O22" s="24"/>
    </row>
    <row r="23" spans="1:15" x14ac:dyDescent="0.3">
      <c r="A23" s="3" t="s">
        <v>28</v>
      </c>
      <c r="B23" s="24">
        <v>45</v>
      </c>
      <c r="C23" s="24">
        <v>45</v>
      </c>
      <c r="D23" s="24">
        <v>45</v>
      </c>
      <c r="E23" s="24">
        <v>45</v>
      </c>
      <c r="F23" s="24">
        <v>45</v>
      </c>
      <c r="G23" s="24">
        <v>45</v>
      </c>
      <c r="H23" s="24">
        <v>45</v>
      </c>
      <c r="I23" s="24">
        <v>45</v>
      </c>
      <c r="J23" s="24">
        <v>45</v>
      </c>
      <c r="K23" s="24">
        <v>45</v>
      </c>
      <c r="L23" s="24">
        <v>45</v>
      </c>
      <c r="M23" s="24">
        <v>45</v>
      </c>
      <c r="N23" s="24">
        <f t="shared" si="4"/>
        <v>540</v>
      </c>
      <c r="O23" s="24"/>
    </row>
    <row r="24" spans="1:15" x14ac:dyDescent="0.3">
      <c r="A24" s="3" t="s">
        <v>33</v>
      </c>
      <c r="B24" s="24">
        <v>200</v>
      </c>
      <c r="C24" s="24">
        <v>200</v>
      </c>
      <c r="D24" s="24">
        <v>200</v>
      </c>
      <c r="E24" s="24">
        <v>200</v>
      </c>
      <c r="F24" s="24">
        <v>200</v>
      </c>
      <c r="G24" s="24">
        <v>200</v>
      </c>
      <c r="H24" s="24">
        <v>200</v>
      </c>
      <c r="I24" s="24">
        <v>200</v>
      </c>
      <c r="J24" s="24">
        <v>200</v>
      </c>
      <c r="K24" s="24">
        <v>200</v>
      </c>
      <c r="L24" s="24">
        <v>200</v>
      </c>
      <c r="M24" s="24">
        <v>200</v>
      </c>
      <c r="N24" s="24">
        <f t="shared" si="4"/>
        <v>2400</v>
      </c>
      <c r="O24" s="24"/>
    </row>
    <row r="25" spans="1:15" x14ac:dyDescent="0.3">
      <c r="A25" s="3" t="s">
        <v>19</v>
      </c>
      <c r="B25" s="24">
        <v>300</v>
      </c>
      <c r="C25" s="24">
        <v>300</v>
      </c>
      <c r="D25" s="24">
        <v>300</v>
      </c>
      <c r="E25" s="24">
        <v>300</v>
      </c>
      <c r="F25" s="24">
        <v>300</v>
      </c>
      <c r="G25" s="24">
        <v>300</v>
      </c>
      <c r="H25" s="24">
        <v>300</v>
      </c>
      <c r="I25" s="24">
        <v>300</v>
      </c>
      <c r="J25" s="24">
        <v>300</v>
      </c>
      <c r="K25" s="24">
        <v>300</v>
      </c>
      <c r="L25" s="24">
        <v>300</v>
      </c>
      <c r="M25" s="24">
        <v>300</v>
      </c>
      <c r="N25" s="24">
        <f t="shared" si="4"/>
        <v>3600</v>
      </c>
      <c r="O25" s="24"/>
    </row>
    <row r="26" spans="1:15" x14ac:dyDescent="0.3">
      <c r="A26" s="3" t="s">
        <v>36</v>
      </c>
      <c r="B26" s="24">
        <v>400</v>
      </c>
      <c r="C26" s="24">
        <v>400</v>
      </c>
      <c r="D26" s="24">
        <v>400</v>
      </c>
      <c r="E26" s="24">
        <v>400</v>
      </c>
      <c r="F26" s="24">
        <v>400</v>
      </c>
      <c r="G26" s="24">
        <v>400</v>
      </c>
      <c r="H26" s="24">
        <v>400</v>
      </c>
      <c r="I26" s="24">
        <v>400</v>
      </c>
      <c r="J26" s="24">
        <v>400</v>
      </c>
      <c r="K26" s="24">
        <v>400</v>
      </c>
      <c r="L26" s="24">
        <v>400</v>
      </c>
      <c r="M26" s="24">
        <v>400</v>
      </c>
      <c r="N26" s="24">
        <f t="shared" si="4"/>
        <v>4800</v>
      </c>
      <c r="O26" s="24"/>
    </row>
    <row r="27" spans="1:15" x14ac:dyDescent="0.3">
      <c r="A27" s="3" t="s">
        <v>37</v>
      </c>
      <c r="B27" s="24">
        <f t="shared" ref="B27:M27" si="8">240*B8</f>
        <v>105600</v>
      </c>
      <c r="C27" s="24">
        <f t="shared" si="8"/>
        <v>105600</v>
      </c>
      <c r="D27" s="24">
        <f t="shared" si="8"/>
        <v>112800</v>
      </c>
      <c r="E27" s="24">
        <f t="shared" si="8"/>
        <v>112800</v>
      </c>
      <c r="F27" s="24">
        <f t="shared" si="8"/>
        <v>120000</v>
      </c>
      <c r="G27" s="24">
        <f t="shared" si="8"/>
        <v>126000</v>
      </c>
      <c r="H27" s="24">
        <f t="shared" si="8"/>
        <v>127200</v>
      </c>
      <c r="I27" s="24">
        <f t="shared" si="8"/>
        <v>127200</v>
      </c>
      <c r="J27" s="24">
        <f t="shared" si="8"/>
        <v>126000</v>
      </c>
      <c r="K27" s="24">
        <f t="shared" si="8"/>
        <v>118800</v>
      </c>
      <c r="L27" s="24">
        <f t="shared" si="8"/>
        <v>112800</v>
      </c>
      <c r="M27" s="24">
        <f t="shared" si="8"/>
        <v>111600</v>
      </c>
      <c r="N27" s="24">
        <f t="shared" si="4"/>
        <v>1406400</v>
      </c>
      <c r="O27" s="24"/>
    </row>
    <row r="28" spans="1:15" x14ac:dyDescent="0.3">
      <c r="A28" s="3" t="s">
        <v>38</v>
      </c>
      <c r="B28" s="24">
        <f>B7*0.4*0.08</f>
        <v>11123.2</v>
      </c>
      <c r="C28" s="24">
        <f t="shared" ref="C28:M28" si="9">C7*0.4*0.08</f>
        <v>11123.2</v>
      </c>
      <c r="D28" s="24">
        <f t="shared" si="9"/>
        <v>11881.6</v>
      </c>
      <c r="E28" s="24">
        <f t="shared" si="9"/>
        <v>11881.6</v>
      </c>
      <c r="F28" s="24">
        <f t="shared" si="9"/>
        <v>12640</v>
      </c>
      <c r="G28" s="24">
        <f t="shared" si="9"/>
        <v>13272</v>
      </c>
      <c r="H28" s="24">
        <f t="shared" si="9"/>
        <v>13398.4</v>
      </c>
      <c r="I28" s="24">
        <f t="shared" si="9"/>
        <v>13398.4</v>
      </c>
      <c r="J28" s="24">
        <f t="shared" si="9"/>
        <v>13272</v>
      </c>
      <c r="K28" s="24">
        <f t="shared" si="9"/>
        <v>12513.6</v>
      </c>
      <c r="L28" s="24">
        <f t="shared" si="9"/>
        <v>11881.6</v>
      </c>
      <c r="M28" s="24">
        <f t="shared" si="9"/>
        <v>11755.2</v>
      </c>
      <c r="N28" s="24">
        <f t="shared" si="4"/>
        <v>148140.80000000002</v>
      </c>
      <c r="O28" s="24"/>
    </row>
    <row r="29" spans="1:15" x14ac:dyDescent="0.3">
      <c r="A29" s="3" t="s">
        <v>39</v>
      </c>
      <c r="B29" s="25">
        <v>1600</v>
      </c>
      <c r="C29" s="25">
        <v>1600</v>
      </c>
      <c r="D29" s="25">
        <v>1600</v>
      </c>
      <c r="E29" s="25">
        <v>1600</v>
      </c>
      <c r="F29" s="25">
        <v>1600</v>
      </c>
      <c r="G29" s="25">
        <v>1600</v>
      </c>
      <c r="H29" s="25">
        <v>1600</v>
      </c>
      <c r="I29" s="25">
        <v>1600</v>
      </c>
      <c r="J29" s="25">
        <v>1600</v>
      </c>
      <c r="K29" s="25">
        <v>1600</v>
      </c>
      <c r="L29" s="25">
        <v>1600</v>
      </c>
      <c r="M29" s="25">
        <v>1600</v>
      </c>
      <c r="N29" s="25">
        <f t="shared" si="4"/>
        <v>19200</v>
      </c>
      <c r="O29" s="24"/>
    </row>
    <row r="30" spans="1:15" x14ac:dyDescent="0.3">
      <c r="A30" s="4" t="s">
        <v>40</v>
      </c>
      <c r="B30" s="25">
        <f>SUM(B13:B29)</f>
        <v>231089.2</v>
      </c>
      <c r="C30" s="25">
        <f t="shared" ref="C30:N30" si="10">SUM(C13:C29)</f>
        <v>231089.2</v>
      </c>
      <c r="D30" s="25">
        <f t="shared" si="10"/>
        <v>244987.6</v>
      </c>
      <c r="E30" s="25">
        <f t="shared" si="10"/>
        <v>244987.6</v>
      </c>
      <c r="F30" s="25">
        <f t="shared" si="10"/>
        <v>258886</v>
      </c>
      <c r="G30" s="25">
        <f t="shared" si="10"/>
        <v>270468</v>
      </c>
      <c r="H30" s="25">
        <f t="shared" si="10"/>
        <v>272784.40000000002</v>
      </c>
      <c r="I30" s="25">
        <f t="shared" si="10"/>
        <v>272784.40000000002</v>
      </c>
      <c r="J30" s="25">
        <f t="shared" si="10"/>
        <v>270468</v>
      </c>
      <c r="K30" s="25">
        <f t="shared" si="10"/>
        <v>256569.60000000001</v>
      </c>
      <c r="L30" s="25">
        <f t="shared" si="10"/>
        <v>244987.6</v>
      </c>
      <c r="M30" s="25">
        <f t="shared" si="10"/>
        <v>242671.2</v>
      </c>
      <c r="N30" s="25">
        <f t="shared" si="10"/>
        <v>3041772.8</v>
      </c>
      <c r="O30" s="24"/>
    </row>
    <row r="31" spans="1:15" x14ac:dyDescent="0.3">
      <c r="A31" s="4" t="s">
        <v>41</v>
      </c>
      <c r="B31" s="24">
        <f t="shared" ref="B31:N31" si="11">B11-B30</f>
        <v>19182.799999999988</v>
      </c>
      <c r="C31" s="24">
        <f t="shared" si="11"/>
        <v>19182.799999999988</v>
      </c>
      <c r="D31" s="24">
        <f t="shared" si="11"/>
        <v>22348.399999999994</v>
      </c>
      <c r="E31" s="24">
        <f t="shared" si="11"/>
        <v>22348.399999999994</v>
      </c>
      <c r="F31" s="24">
        <f t="shared" si="11"/>
        <v>25514</v>
      </c>
      <c r="G31" s="24">
        <f t="shared" si="11"/>
        <v>28152</v>
      </c>
      <c r="H31" s="24">
        <f t="shared" si="11"/>
        <v>28679.599999999977</v>
      </c>
      <c r="I31" s="24">
        <f t="shared" si="11"/>
        <v>28679.599999999977</v>
      </c>
      <c r="J31" s="24">
        <f t="shared" si="11"/>
        <v>28152</v>
      </c>
      <c r="K31" s="24">
        <f t="shared" si="11"/>
        <v>24986.399999999994</v>
      </c>
      <c r="L31" s="24">
        <f t="shared" si="11"/>
        <v>22348.399999999994</v>
      </c>
      <c r="M31" s="24">
        <f t="shared" si="11"/>
        <v>21820.799999999988</v>
      </c>
      <c r="N31" s="24">
        <f t="shared" si="11"/>
        <v>291395.20000000019</v>
      </c>
      <c r="O31" s="24"/>
    </row>
    <row r="32" spans="1:15" x14ac:dyDescent="0.3">
      <c r="A32" s="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</row>
    <row r="33" spans="1:15" x14ac:dyDescent="0.3">
      <c r="A33" s="3" t="s">
        <v>66</v>
      </c>
      <c r="B33">
        <f>593+820+580+911+1046+1511</f>
        <v>5461</v>
      </c>
      <c r="C33">
        <f t="shared" ref="C33:M33" si="12">593+820+580+911+1046+1511</f>
        <v>5461</v>
      </c>
      <c r="D33">
        <f t="shared" si="12"/>
        <v>5461</v>
      </c>
      <c r="E33">
        <f t="shared" si="12"/>
        <v>5461</v>
      </c>
      <c r="F33">
        <f t="shared" si="12"/>
        <v>5461</v>
      </c>
      <c r="G33">
        <f t="shared" si="12"/>
        <v>5461</v>
      </c>
      <c r="H33">
        <f t="shared" si="12"/>
        <v>5461</v>
      </c>
      <c r="I33">
        <f t="shared" si="12"/>
        <v>5461</v>
      </c>
      <c r="J33">
        <f t="shared" si="12"/>
        <v>5461</v>
      </c>
      <c r="K33">
        <f t="shared" si="12"/>
        <v>5461</v>
      </c>
      <c r="L33">
        <f t="shared" si="12"/>
        <v>5461</v>
      </c>
      <c r="M33">
        <f t="shared" si="12"/>
        <v>5461</v>
      </c>
      <c r="N33">
        <f>SUM(B33:M33)</f>
        <v>65532</v>
      </c>
      <c r="O33" s="24"/>
    </row>
    <row r="34" spans="1:15" x14ac:dyDescent="0.3">
      <c r="A34" s="3" t="s">
        <v>67</v>
      </c>
      <c r="B34" s="17">
        <v>2268</v>
      </c>
      <c r="C34" s="17">
        <v>2268</v>
      </c>
      <c r="D34" s="17">
        <v>2268</v>
      </c>
      <c r="E34" s="17">
        <v>2268</v>
      </c>
      <c r="F34" s="17">
        <v>2268</v>
      </c>
      <c r="G34" s="17">
        <v>2268</v>
      </c>
      <c r="H34" s="17">
        <v>2268</v>
      </c>
      <c r="I34" s="17">
        <v>2268</v>
      </c>
      <c r="J34" s="17">
        <v>2268</v>
      </c>
      <c r="K34" s="17">
        <v>2268</v>
      </c>
      <c r="L34" s="17">
        <v>2268</v>
      </c>
      <c r="M34" s="17">
        <v>2268</v>
      </c>
      <c r="N34" s="17">
        <f>SUM(B34:M34)</f>
        <v>27216</v>
      </c>
      <c r="O34" s="24"/>
    </row>
    <row r="35" spans="1:15" x14ac:dyDescent="0.3">
      <c r="A35" s="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</row>
    <row r="36" spans="1:15" x14ac:dyDescent="0.3">
      <c r="A36" s="5" t="s">
        <v>71</v>
      </c>
      <c r="B36" s="24">
        <f>B31-B33-B34</f>
        <v>11453.799999999988</v>
      </c>
      <c r="C36" s="24">
        <f t="shared" ref="C36:M36" si="13">C31-C33-C34</f>
        <v>11453.799999999988</v>
      </c>
      <c r="D36" s="24">
        <f t="shared" si="13"/>
        <v>14619.399999999994</v>
      </c>
      <c r="E36" s="24">
        <f t="shared" si="13"/>
        <v>14619.399999999994</v>
      </c>
      <c r="F36" s="24">
        <f t="shared" si="13"/>
        <v>17785</v>
      </c>
      <c r="G36" s="24">
        <f t="shared" si="13"/>
        <v>20423</v>
      </c>
      <c r="H36" s="24">
        <f t="shared" si="13"/>
        <v>20950.599999999977</v>
      </c>
      <c r="I36" s="24">
        <f t="shared" si="13"/>
        <v>20950.599999999977</v>
      </c>
      <c r="J36" s="24">
        <f t="shared" si="13"/>
        <v>20423</v>
      </c>
      <c r="K36" s="24">
        <f t="shared" si="13"/>
        <v>17257.399999999994</v>
      </c>
      <c r="L36" s="24">
        <f t="shared" si="13"/>
        <v>14619.399999999994</v>
      </c>
      <c r="M36" s="24">
        <f t="shared" si="13"/>
        <v>14091.799999999988</v>
      </c>
      <c r="N36" s="24">
        <f>SUM(B36:M36)</f>
        <v>198647.1999999999</v>
      </c>
      <c r="O36" s="24"/>
    </row>
    <row r="37" spans="1:15" x14ac:dyDescent="0.3">
      <c r="A37" s="6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</row>
    <row r="38" spans="1:15" x14ac:dyDescent="0.3">
      <c r="A38" s="1" t="s">
        <v>72</v>
      </c>
      <c r="E38">
        <v>40000</v>
      </c>
      <c r="H38">
        <v>55000</v>
      </c>
      <c r="L38">
        <v>60000</v>
      </c>
      <c r="N38">
        <f>SUM(D38:M38)</f>
        <v>155000</v>
      </c>
      <c r="O38" s="24"/>
    </row>
    <row r="39" spans="1:15" x14ac:dyDescent="0.3">
      <c r="A39" s="1" t="s">
        <v>73</v>
      </c>
      <c r="B39" s="17"/>
      <c r="C39" s="17"/>
      <c r="D39" s="17">
        <v>6000</v>
      </c>
      <c r="E39" s="17"/>
      <c r="F39" s="17"/>
      <c r="G39" s="17">
        <v>6000</v>
      </c>
      <c r="H39" s="17"/>
      <c r="I39" s="17"/>
      <c r="J39" s="17">
        <v>6000</v>
      </c>
      <c r="K39" s="17"/>
      <c r="L39" s="17">
        <v>6000</v>
      </c>
      <c r="M39" s="17"/>
      <c r="N39" s="17">
        <f>SUM(D39:M39)</f>
        <v>24000</v>
      </c>
      <c r="O39" s="24"/>
    </row>
    <row r="40" spans="1:15" x14ac:dyDescent="0.3">
      <c r="A40" s="1" t="s">
        <v>74</v>
      </c>
      <c r="B40" s="26">
        <f>B36-B38-B39</f>
        <v>11453.799999999988</v>
      </c>
      <c r="C40" s="26">
        <f t="shared" ref="C40:N40" si="14">C36-C38-C39</f>
        <v>11453.799999999988</v>
      </c>
      <c r="D40" s="26">
        <f t="shared" si="14"/>
        <v>8619.3999999999942</v>
      </c>
      <c r="E40" s="26">
        <f t="shared" si="14"/>
        <v>-25380.600000000006</v>
      </c>
      <c r="F40" s="26">
        <f t="shared" si="14"/>
        <v>17785</v>
      </c>
      <c r="G40" s="26">
        <f t="shared" si="14"/>
        <v>14423</v>
      </c>
      <c r="H40" s="26">
        <f t="shared" si="14"/>
        <v>-34049.400000000023</v>
      </c>
      <c r="I40" s="26">
        <f t="shared" si="14"/>
        <v>20950.599999999977</v>
      </c>
      <c r="J40" s="26">
        <f t="shared" si="14"/>
        <v>14423</v>
      </c>
      <c r="K40" s="26">
        <f t="shared" si="14"/>
        <v>17257.399999999994</v>
      </c>
      <c r="L40" s="26">
        <f t="shared" si="14"/>
        <v>-51380.600000000006</v>
      </c>
      <c r="M40" s="26">
        <f t="shared" si="14"/>
        <v>14091.799999999988</v>
      </c>
      <c r="N40" s="26">
        <f t="shared" si="14"/>
        <v>19647.199999999895</v>
      </c>
      <c r="O40" s="24"/>
    </row>
    <row r="41" spans="1:15" x14ac:dyDescent="0.3">
      <c r="A41" s="3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</row>
    <row r="42" spans="1:15" x14ac:dyDescent="0.3">
      <c r="A42" s="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</row>
    <row r="43" spans="1:15" x14ac:dyDescent="0.3">
      <c r="A43" s="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</row>
    <row r="44" spans="1:15" x14ac:dyDescent="0.3">
      <c r="A44" s="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</row>
    <row r="45" spans="1:15" x14ac:dyDescent="0.3">
      <c r="A45" s="3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</row>
    <row r="46" spans="1:15" x14ac:dyDescent="0.3">
      <c r="A46" s="3"/>
    </row>
    <row r="47" spans="1:15" x14ac:dyDescent="0.3">
      <c r="A47" s="4"/>
    </row>
    <row r="48" spans="1:15" x14ac:dyDescent="0.3">
      <c r="A48" s="4"/>
    </row>
    <row r="49" spans="1:1" x14ac:dyDescent="0.3">
      <c r="A49" s="4"/>
    </row>
    <row r="50" spans="1:1" x14ac:dyDescent="0.3">
      <c r="A50" s="4"/>
    </row>
    <row r="54" spans="1:1" x14ac:dyDescent="0.3">
      <c r="A54"/>
    </row>
  </sheetData>
  <pageMargins left="0.7" right="0.7" top="0.75" bottom="0.75" header="0.3" footer="0.3"/>
  <pageSetup scale="74" fitToHeight="0" orientation="landscape" horizontalDpi="0" verticalDpi="0" r:id="rId1"/>
  <headerFooter>
    <oddHeader xml:space="preserve">&amp;CAuto Glass 2020
Plan for 2030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8420-8BD7-468D-9C27-96E55379E6B0}">
  <sheetPr>
    <pageSetUpPr fitToPage="1"/>
  </sheetPr>
  <dimension ref="A1:N54"/>
  <sheetViews>
    <sheetView view="pageLayout" topLeftCell="A14" zoomScaleNormal="100" workbookViewId="0">
      <selection activeCell="G40" sqref="G40:H40"/>
    </sheetView>
  </sheetViews>
  <sheetFormatPr defaultRowHeight="15.6" x14ac:dyDescent="0.3"/>
  <cols>
    <col min="1" max="1" width="25.5" style="1" customWidth="1"/>
    <col min="8" max="8" width="14.5" customWidth="1"/>
  </cols>
  <sheetData>
    <row r="1" spans="1:8" x14ac:dyDescent="0.3">
      <c r="A1"/>
    </row>
    <row r="2" spans="1:8" x14ac:dyDescent="0.3">
      <c r="A2"/>
    </row>
    <row r="3" spans="1:8" x14ac:dyDescent="0.3">
      <c r="A3"/>
      <c r="H3" s="12">
        <v>2031</v>
      </c>
    </row>
    <row r="4" spans="1:8" x14ac:dyDescent="0.3">
      <c r="B4" s="12"/>
      <c r="C4" s="12"/>
      <c r="D4" s="12"/>
      <c r="H4" s="12" t="s">
        <v>64</v>
      </c>
    </row>
    <row r="5" spans="1:8" x14ac:dyDescent="0.3">
      <c r="A5" s="7" t="s">
        <v>44</v>
      </c>
      <c r="B5" s="13" t="s">
        <v>50</v>
      </c>
      <c r="C5" s="13" t="s">
        <v>51</v>
      </c>
      <c r="D5" s="13" t="s">
        <v>52</v>
      </c>
      <c r="E5" s="23" t="s">
        <v>53</v>
      </c>
      <c r="F5" s="23" t="s">
        <v>54</v>
      </c>
      <c r="G5" s="23" t="s">
        <v>55</v>
      </c>
      <c r="H5" s="23" t="s">
        <v>65</v>
      </c>
    </row>
    <row r="6" spans="1:8" x14ac:dyDescent="0.3">
      <c r="A6" s="3"/>
    </row>
    <row r="7" spans="1:8" x14ac:dyDescent="0.3">
      <c r="A7" s="4" t="s">
        <v>7</v>
      </c>
      <c r="B7" s="24">
        <f>B8*800</f>
        <v>372000</v>
      </c>
      <c r="C7" s="24">
        <f t="shared" ref="C7:G7" si="0">C8*800</f>
        <v>360000</v>
      </c>
      <c r="D7" s="24">
        <f t="shared" si="0"/>
        <v>392000</v>
      </c>
      <c r="E7" s="24">
        <f t="shared" si="0"/>
        <v>396000</v>
      </c>
      <c r="F7" s="24">
        <f t="shared" si="0"/>
        <v>420000</v>
      </c>
      <c r="G7" s="24">
        <f t="shared" si="0"/>
        <v>440000</v>
      </c>
      <c r="H7" s="26">
        <f>SUM(B7:G7)</f>
        <v>2380000</v>
      </c>
    </row>
    <row r="8" spans="1:8" x14ac:dyDescent="0.3">
      <c r="A8" s="4" t="s">
        <v>49</v>
      </c>
      <c r="B8" s="24">
        <v>465</v>
      </c>
      <c r="C8">
        <v>450</v>
      </c>
      <c r="D8">
        <v>490</v>
      </c>
      <c r="E8">
        <v>495</v>
      </c>
      <c r="F8">
        <v>525</v>
      </c>
      <c r="G8">
        <v>550</v>
      </c>
      <c r="H8" s="26">
        <f t="shared" ref="H8:H9" si="1">SUM(B8:G8)</f>
        <v>2975</v>
      </c>
    </row>
    <row r="9" spans="1:8" x14ac:dyDescent="0.3">
      <c r="A9" s="6" t="s">
        <v>11</v>
      </c>
      <c r="B9" s="24">
        <f>B7*0.28</f>
        <v>104160.00000000001</v>
      </c>
      <c r="C9" s="24">
        <f t="shared" ref="C9:G9" si="2">C7*0.28</f>
        <v>100800.00000000001</v>
      </c>
      <c r="D9" s="24">
        <f t="shared" si="2"/>
        <v>109760.00000000001</v>
      </c>
      <c r="E9" s="24">
        <f t="shared" si="2"/>
        <v>110880.00000000001</v>
      </c>
      <c r="F9" s="24">
        <f t="shared" si="2"/>
        <v>117600.00000000001</v>
      </c>
      <c r="G9" s="24">
        <f t="shared" si="2"/>
        <v>123200.00000000001</v>
      </c>
      <c r="H9" s="26">
        <f t="shared" si="1"/>
        <v>666400.00000000012</v>
      </c>
    </row>
    <row r="10" spans="1:8" x14ac:dyDescent="0.3">
      <c r="A10" s="4" t="s">
        <v>11</v>
      </c>
      <c r="B10" s="24"/>
    </row>
    <row r="11" spans="1:8" x14ac:dyDescent="0.3">
      <c r="A11" s="4" t="s">
        <v>12</v>
      </c>
      <c r="B11" s="24">
        <f t="shared" ref="B11:H11" si="3">B7-B9</f>
        <v>267840</v>
      </c>
      <c r="C11" s="24">
        <f t="shared" si="3"/>
        <v>259200</v>
      </c>
      <c r="D11" s="24">
        <f t="shared" si="3"/>
        <v>282240</v>
      </c>
      <c r="E11" s="24">
        <f t="shared" si="3"/>
        <v>285120</v>
      </c>
      <c r="F11" s="24">
        <f t="shared" si="3"/>
        <v>302400</v>
      </c>
      <c r="G11" s="24">
        <f t="shared" si="3"/>
        <v>316800</v>
      </c>
      <c r="H11" s="24">
        <f t="shared" si="3"/>
        <v>1713600</v>
      </c>
    </row>
    <row r="12" spans="1:8" x14ac:dyDescent="0.3">
      <c r="A12" s="2" t="s">
        <v>13</v>
      </c>
      <c r="B12" s="24"/>
      <c r="C12" s="24"/>
      <c r="D12" s="24"/>
      <c r="E12" s="24"/>
      <c r="F12" s="24"/>
      <c r="G12" s="24"/>
      <c r="H12" s="24"/>
    </row>
    <row r="13" spans="1:8" x14ac:dyDescent="0.3">
      <c r="A13" s="3" t="s">
        <v>14</v>
      </c>
      <c r="B13" s="24">
        <f>B8*140</f>
        <v>65100</v>
      </c>
      <c r="C13" s="24">
        <f t="shared" ref="C13:G13" si="4">C8*140</f>
        <v>63000</v>
      </c>
      <c r="D13" s="24">
        <f t="shared" si="4"/>
        <v>68600</v>
      </c>
      <c r="E13" s="24">
        <f t="shared" si="4"/>
        <v>69300</v>
      </c>
      <c r="F13" s="24">
        <f t="shared" si="4"/>
        <v>73500</v>
      </c>
      <c r="G13" s="24">
        <f t="shared" si="4"/>
        <v>77000</v>
      </c>
      <c r="H13" s="24">
        <f>SUM(B13:G13)</f>
        <v>416500</v>
      </c>
    </row>
    <row r="14" spans="1:8" x14ac:dyDescent="0.3">
      <c r="A14" s="3" t="s">
        <v>16</v>
      </c>
      <c r="B14" s="24">
        <v>330</v>
      </c>
      <c r="C14" s="24">
        <v>330</v>
      </c>
      <c r="D14" s="24">
        <v>330</v>
      </c>
      <c r="E14" s="24">
        <v>330</v>
      </c>
      <c r="F14" s="24">
        <v>330</v>
      </c>
      <c r="G14" s="24">
        <v>330</v>
      </c>
      <c r="H14" s="24">
        <f t="shared" ref="H14:H29" si="5">SUM(B14:G14)</f>
        <v>1980</v>
      </c>
    </row>
    <row r="15" spans="1:8" x14ac:dyDescent="0.3">
      <c r="A15" s="6" t="s">
        <v>20</v>
      </c>
      <c r="B15" s="24">
        <f t="shared" ref="B15:H15" si="6">9*B8</f>
        <v>4185</v>
      </c>
      <c r="C15" s="24">
        <f t="shared" si="6"/>
        <v>4050</v>
      </c>
      <c r="D15" s="24">
        <f t="shared" si="6"/>
        <v>4410</v>
      </c>
      <c r="E15" s="24">
        <f t="shared" si="6"/>
        <v>4455</v>
      </c>
      <c r="F15" s="24">
        <f t="shared" si="6"/>
        <v>4725</v>
      </c>
      <c r="G15" s="24">
        <f t="shared" si="6"/>
        <v>4950</v>
      </c>
      <c r="H15" s="24">
        <f t="shared" si="5"/>
        <v>26775</v>
      </c>
    </row>
    <row r="16" spans="1:8" x14ac:dyDescent="0.3">
      <c r="A16" s="3" t="s">
        <v>21</v>
      </c>
      <c r="B16" s="24">
        <v>1600</v>
      </c>
      <c r="C16" s="24">
        <v>1600</v>
      </c>
      <c r="D16" s="24">
        <v>1600</v>
      </c>
      <c r="E16" s="24">
        <v>1600</v>
      </c>
      <c r="F16" s="24">
        <v>1600</v>
      </c>
      <c r="G16" s="24">
        <v>1600</v>
      </c>
      <c r="H16" s="24">
        <f t="shared" si="5"/>
        <v>9600</v>
      </c>
    </row>
    <row r="17" spans="1:8" x14ac:dyDescent="0.3">
      <c r="A17" s="3" t="s">
        <v>22</v>
      </c>
      <c r="B17" s="24">
        <v>8000</v>
      </c>
      <c r="C17" s="24">
        <v>8000</v>
      </c>
      <c r="D17" s="24">
        <v>8000</v>
      </c>
      <c r="E17" s="24">
        <v>8000</v>
      </c>
      <c r="F17" s="24">
        <v>8000</v>
      </c>
      <c r="G17" s="24">
        <v>8000</v>
      </c>
      <c r="H17" s="24">
        <f t="shared" si="5"/>
        <v>48000</v>
      </c>
    </row>
    <row r="18" spans="1:8" x14ac:dyDescent="0.3">
      <c r="A18" s="3" t="s">
        <v>23</v>
      </c>
      <c r="B18" s="24">
        <f t="shared" ref="B18:H18" si="7">49*B8</f>
        <v>22785</v>
      </c>
      <c r="C18" s="24">
        <f t="shared" si="7"/>
        <v>22050</v>
      </c>
      <c r="D18" s="24">
        <f t="shared" si="7"/>
        <v>24010</v>
      </c>
      <c r="E18" s="24">
        <f t="shared" si="7"/>
        <v>24255</v>
      </c>
      <c r="F18" s="24">
        <f t="shared" si="7"/>
        <v>25725</v>
      </c>
      <c r="G18" s="24">
        <f t="shared" si="7"/>
        <v>26950</v>
      </c>
      <c r="H18" s="24">
        <f t="shared" si="5"/>
        <v>145775</v>
      </c>
    </row>
    <row r="19" spans="1:8" x14ac:dyDescent="0.3">
      <c r="A19" s="3" t="s">
        <v>24</v>
      </c>
      <c r="B19" s="24">
        <v>3100</v>
      </c>
      <c r="C19" s="24">
        <v>3100</v>
      </c>
      <c r="D19" s="24">
        <v>3100</v>
      </c>
      <c r="E19" s="24">
        <v>3100</v>
      </c>
      <c r="F19" s="24">
        <v>3100</v>
      </c>
      <c r="G19" s="24">
        <v>3100</v>
      </c>
      <c r="H19" s="24">
        <f t="shared" si="5"/>
        <v>18600</v>
      </c>
    </row>
    <row r="20" spans="1:8" x14ac:dyDescent="0.3">
      <c r="A20" s="3" t="s">
        <v>25</v>
      </c>
      <c r="B20" s="24">
        <v>5000</v>
      </c>
      <c r="C20" s="24">
        <v>5000</v>
      </c>
      <c r="D20" s="24">
        <v>5000</v>
      </c>
      <c r="E20" s="24">
        <v>5000</v>
      </c>
      <c r="F20" s="24">
        <v>5000</v>
      </c>
      <c r="G20" s="24">
        <v>5000</v>
      </c>
      <c r="H20" s="24">
        <f t="shared" si="5"/>
        <v>30000</v>
      </c>
    </row>
    <row r="21" spans="1:8" x14ac:dyDescent="0.3">
      <c r="A21" s="3" t="s">
        <v>26</v>
      </c>
      <c r="B21" s="24">
        <f t="shared" ref="B21:H21" si="8">5700*1.03</f>
        <v>5871</v>
      </c>
      <c r="C21" s="24">
        <f t="shared" si="8"/>
        <v>5871</v>
      </c>
      <c r="D21" s="24">
        <f t="shared" si="8"/>
        <v>5871</v>
      </c>
      <c r="E21" s="24">
        <f t="shared" si="8"/>
        <v>5871</v>
      </c>
      <c r="F21" s="24">
        <f t="shared" si="8"/>
        <v>5871</v>
      </c>
      <c r="G21" s="24">
        <f t="shared" si="8"/>
        <v>5871</v>
      </c>
      <c r="H21" s="24">
        <f t="shared" si="5"/>
        <v>35226</v>
      </c>
    </row>
    <row r="22" spans="1:8" x14ac:dyDescent="0.3">
      <c r="A22" s="3" t="s">
        <v>27</v>
      </c>
      <c r="B22" s="24">
        <v>800</v>
      </c>
      <c r="C22" s="24">
        <v>800</v>
      </c>
      <c r="D22" s="24">
        <v>800</v>
      </c>
      <c r="E22" s="24">
        <v>800</v>
      </c>
      <c r="F22" s="24">
        <v>800</v>
      </c>
      <c r="G22" s="24">
        <v>800</v>
      </c>
      <c r="H22" s="24">
        <f t="shared" si="5"/>
        <v>4800</v>
      </c>
    </row>
    <row r="23" spans="1:8" x14ac:dyDescent="0.3">
      <c r="A23" s="3" t="s">
        <v>28</v>
      </c>
      <c r="B23" s="24">
        <v>45</v>
      </c>
      <c r="C23" s="24">
        <v>45</v>
      </c>
      <c r="D23" s="24">
        <v>45</v>
      </c>
      <c r="E23" s="24">
        <v>45</v>
      </c>
      <c r="F23" s="24">
        <v>45</v>
      </c>
      <c r="G23" s="24">
        <v>45</v>
      </c>
      <c r="H23" s="24">
        <f t="shared" si="5"/>
        <v>270</v>
      </c>
    </row>
    <row r="24" spans="1:8" x14ac:dyDescent="0.3">
      <c r="A24" s="3" t="s">
        <v>33</v>
      </c>
      <c r="B24" s="24">
        <v>200</v>
      </c>
      <c r="C24" s="24">
        <v>200</v>
      </c>
      <c r="D24" s="24">
        <v>200</v>
      </c>
      <c r="E24" s="24">
        <v>200</v>
      </c>
      <c r="F24" s="24">
        <v>200</v>
      </c>
      <c r="G24" s="24">
        <v>200</v>
      </c>
      <c r="H24" s="24">
        <f t="shared" si="5"/>
        <v>1200</v>
      </c>
    </row>
    <row r="25" spans="1:8" x14ac:dyDescent="0.3">
      <c r="A25" s="3" t="s">
        <v>19</v>
      </c>
      <c r="B25" s="24">
        <v>300</v>
      </c>
      <c r="C25" s="24">
        <v>300</v>
      </c>
      <c r="D25" s="24">
        <v>300</v>
      </c>
      <c r="E25" s="24">
        <v>300</v>
      </c>
      <c r="F25" s="24">
        <v>300</v>
      </c>
      <c r="G25" s="24">
        <v>300</v>
      </c>
      <c r="H25" s="24">
        <f t="shared" si="5"/>
        <v>1800</v>
      </c>
    </row>
    <row r="26" spans="1:8" x14ac:dyDescent="0.3">
      <c r="A26" s="3" t="s">
        <v>36</v>
      </c>
      <c r="B26" s="24">
        <v>400</v>
      </c>
      <c r="C26" s="24">
        <v>400</v>
      </c>
      <c r="D26" s="24">
        <v>400</v>
      </c>
      <c r="E26" s="24">
        <v>400</v>
      </c>
      <c r="F26" s="24">
        <v>400</v>
      </c>
      <c r="G26" s="24">
        <v>400</v>
      </c>
      <c r="H26" s="24">
        <f t="shared" si="5"/>
        <v>2400</v>
      </c>
    </row>
    <row r="27" spans="1:8" x14ac:dyDescent="0.3">
      <c r="A27" s="3" t="s">
        <v>37</v>
      </c>
      <c r="B27" s="24">
        <f t="shared" ref="B27:H27" si="9">240*B8</f>
        <v>111600</v>
      </c>
      <c r="C27" s="24">
        <f t="shared" si="9"/>
        <v>108000</v>
      </c>
      <c r="D27" s="24">
        <f t="shared" si="9"/>
        <v>117600</v>
      </c>
      <c r="E27" s="24">
        <f t="shared" si="9"/>
        <v>118800</v>
      </c>
      <c r="F27" s="24">
        <f t="shared" si="9"/>
        <v>126000</v>
      </c>
      <c r="G27" s="24">
        <f t="shared" si="9"/>
        <v>132000</v>
      </c>
      <c r="H27" s="24">
        <f t="shared" si="5"/>
        <v>714000</v>
      </c>
    </row>
    <row r="28" spans="1:8" x14ac:dyDescent="0.3">
      <c r="A28" s="3" t="s">
        <v>38</v>
      </c>
      <c r="B28" s="24">
        <f>B7*0.4*0.08</f>
        <v>11904</v>
      </c>
      <c r="C28" s="24">
        <f t="shared" ref="C28:G28" si="10">C7*0.4*0.08</f>
        <v>11520</v>
      </c>
      <c r="D28" s="24">
        <f t="shared" si="10"/>
        <v>12544</v>
      </c>
      <c r="E28" s="24">
        <f t="shared" si="10"/>
        <v>12672</v>
      </c>
      <c r="F28" s="24">
        <f t="shared" si="10"/>
        <v>13440</v>
      </c>
      <c r="G28" s="24">
        <f t="shared" si="10"/>
        <v>14080</v>
      </c>
      <c r="H28" s="24">
        <f t="shared" si="5"/>
        <v>76160</v>
      </c>
    </row>
    <row r="29" spans="1:8" x14ac:dyDescent="0.3">
      <c r="A29" s="3" t="s">
        <v>39</v>
      </c>
      <c r="B29" s="25">
        <v>1600</v>
      </c>
      <c r="C29" s="25">
        <v>1600</v>
      </c>
      <c r="D29" s="25">
        <v>1600</v>
      </c>
      <c r="E29" s="25">
        <v>1600</v>
      </c>
      <c r="F29" s="25">
        <v>1600</v>
      </c>
      <c r="G29" s="25">
        <v>1600</v>
      </c>
      <c r="H29" s="25">
        <f t="shared" si="5"/>
        <v>9600</v>
      </c>
    </row>
    <row r="30" spans="1:8" x14ac:dyDescent="0.3">
      <c r="A30" s="4" t="s">
        <v>40</v>
      </c>
      <c r="B30" s="25">
        <f t="shared" ref="B30" si="11">SUM(B13:B29)</f>
        <v>242820</v>
      </c>
      <c r="C30" s="25">
        <f t="shared" ref="C30" si="12">SUM(C13:C29)</f>
        <v>235866</v>
      </c>
      <c r="D30" s="25">
        <f t="shared" ref="D30" si="13">SUM(D13:D29)</f>
        <v>254410</v>
      </c>
      <c r="E30" s="25">
        <f t="shared" ref="E30" si="14">SUM(E13:E29)</f>
        <v>256728</v>
      </c>
      <c r="F30" s="25">
        <f t="shared" ref="F30" si="15">SUM(F13:F29)</f>
        <v>270636</v>
      </c>
      <c r="G30" s="25">
        <f t="shared" ref="G30" si="16">SUM(G13:G29)</f>
        <v>282226</v>
      </c>
      <c r="H30" s="25">
        <f t="shared" ref="H30" si="17">SUM(H13:H29)</f>
        <v>1542686</v>
      </c>
    </row>
    <row r="31" spans="1:8" x14ac:dyDescent="0.3">
      <c r="A31" s="4" t="s">
        <v>41</v>
      </c>
      <c r="B31" s="24">
        <f t="shared" ref="B31:H31" si="18">B11-B30</f>
        <v>25020</v>
      </c>
      <c r="C31" s="24">
        <f t="shared" si="18"/>
        <v>23334</v>
      </c>
      <c r="D31" s="24">
        <f t="shared" si="18"/>
        <v>27830</v>
      </c>
      <c r="E31" s="24">
        <f t="shared" si="18"/>
        <v>28392</v>
      </c>
      <c r="F31" s="24">
        <f t="shared" si="18"/>
        <v>31764</v>
      </c>
      <c r="G31" s="24">
        <f t="shared" si="18"/>
        <v>34574</v>
      </c>
      <c r="H31" s="24">
        <f t="shared" si="18"/>
        <v>170914</v>
      </c>
    </row>
    <row r="32" spans="1:8" x14ac:dyDescent="0.3">
      <c r="A32" s="3"/>
    </row>
    <row r="33" spans="1:14" x14ac:dyDescent="0.3">
      <c r="A33" s="3" t="s">
        <v>66</v>
      </c>
      <c r="B33">
        <f>593+820+580+911+1046+1511</f>
        <v>5461</v>
      </c>
      <c r="C33">
        <f t="shared" ref="C33:M33" si="19">593+820+580+911+1046+1511</f>
        <v>5461</v>
      </c>
      <c r="D33">
        <f t="shared" si="19"/>
        <v>5461</v>
      </c>
      <c r="E33">
        <f t="shared" si="19"/>
        <v>5461</v>
      </c>
      <c r="F33">
        <f t="shared" si="19"/>
        <v>5461</v>
      </c>
      <c r="G33">
        <f t="shared" si="19"/>
        <v>5461</v>
      </c>
      <c r="H33">
        <f>SUM(B33:G33)</f>
        <v>32766</v>
      </c>
    </row>
    <row r="34" spans="1:14" x14ac:dyDescent="0.3">
      <c r="A34" s="3" t="s">
        <v>67</v>
      </c>
      <c r="B34" s="17">
        <v>2268</v>
      </c>
      <c r="C34" s="17">
        <v>2268</v>
      </c>
      <c r="D34" s="17">
        <v>2268</v>
      </c>
      <c r="E34" s="17">
        <v>2268</v>
      </c>
      <c r="F34" s="17">
        <v>2268</v>
      </c>
      <c r="G34" s="17">
        <v>2268</v>
      </c>
      <c r="H34" s="17">
        <f>SUM(B34:G34)</f>
        <v>13608</v>
      </c>
    </row>
    <row r="35" spans="1:14" x14ac:dyDescent="0.3">
      <c r="A35" s="3"/>
    </row>
    <row r="36" spans="1:14" x14ac:dyDescent="0.3">
      <c r="A36" s="5" t="s">
        <v>71</v>
      </c>
      <c r="B36" s="26">
        <f>B31-B33-B34</f>
        <v>17291</v>
      </c>
      <c r="C36" s="26">
        <f t="shared" ref="C36:G36" si="20">C31-C33-C34</f>
        <v>15605</v>
      </c>
      <c r="D36" s="26">
        <f t="shared" si="20"/>
        <v>20101</v>
      </c>
      <c r="E36" s="26">
        <f t="shared" si="20"/>
        <v>20663</v>
      </c>
      <c r="F36" s="26">
        <f t="shared" si="20"/>
        <v>24035</v>
      </c>
      <c r="G36" s="26">
        <f t="shared" si="20"/>
        <v>26845</v>
      </c>
      <c r="H36" s="26">
        <f>H31-H33-H34</f>
        <v>124540</v>
      </c>
    </row>
    <row r="37" spans="1:14" x14ac:dyDescent="0.3">
      <c r="A37" s="6"/>
    </row>
    <row r="38" spans="1:14" x14ac:dyDescent="0.3">
      <c r="A38" s="1" t="s">
        <v>72</v>
      </c>
      <c r="D38">
        <v>40000</v>
      </c>
      <c r="G38">
        <v>60000</v>
      </c>
      <c r="H38" s="27">
        <f>SUM(B38:G38)</f>
        <v>100000</v>
      </c>
      <c r="I38" s="27"/>
      <c r="J38" s="27"/>
      <c r="K38" s="27"/>
      <c r="L38" s="27"/>
      <c r="M38" s="27"/>
      <c r="N38" s="27"/>
    </row>
    <row r="39" spans="1:14" x14ac:dyDescent="0.3">
      <c r="A39" s="1" t="s">
        <v>73</v>
      </c>
      <c r="B39" s="17"/>
      <c r="C39" s="17"/>
      <c r="D39" s="17">
        <v>6000</v>
      </c>
      <c r="E39" s="17"/>
      <c r="F39" s="17"/>
      <c r="G39" s="17">
        <v>6000</v>
      </c>
      <c r="H39" s="17">
        <f>SUM(B39:G39)</f>
        <v>12000</v>
      </c>
      <c r="I39" s="27"/>
      <c r="J39" s="27"/>
      <c r="K39" s="27"/>
      <c r="L39" s="27"/>
      <c r="M39" s="27"/>
      <c r="N39" s="27"/>
    </row>
    <row r="40" spans="1:14" x14ac:dyDescent="0.3">
      <c r="A40" s="1" t="s">
        <v>74</v>
      </c>
      <c r="B40" s="26">
        <f>B36-B38-B39</f>
        <v>17291</v>
      </c>
      <c r="C40" s="26">
        <f t="shared" ref="C40:N40" si="21">C36-C38-C39</f>
        <v>15605</v>
      </c>
      <c r="D40" s="26">
        <f t="shared" si="21"/>
        <v>-25899</v>
      </c>
      <c r="E40" s="26">
        <f t="shared" si="21"/>
        <v>20663</v>
      </c>
      <c r="F40" s="26">
        <f t="shared" si="21"/>
        <v>24035</v>
      </c>
      <c r="G40" s="26">
        <f t="shared" si="21"/>
        <v>-39155</v>
      </c>
      <c r="H40" s="26">
        <f t="shared" si="21"/>
        <v>12540</v>
      </c>
      <c r="I40" s="28"/>
      <c r="J40" s="28"/>
      <c r="K40" s="28"/>
      <c r="L40" s="28"/>
      <c r="M40" s="28"/>
      <c r="N40" s="28"/>
    </row>
    <row r="41" spans="1:14" x14ac:dyDescent="0.3">
      <c r="A41" s="3"/>
    </row>
    <row r="42" spans="1:14" x14ac:dyDescent="0.3">
      <c r="A42" s="3"/>
    </row>
    <row r="43" spans="1:14" x14ac:dyDescent="0.3">
      <c r="A43" s="3"/>
    </row>
    <row r="44" spans="1:14" x14ac:dyDescent="0.3">
      <c r="A44" s="3"/>
    </row>
    <row r="45" spans="1:14" x14ac:dyDescent="0.3">
      <c r="A45" s="3"/>
    </row>
    <row r="46" spans="1:14" x14ac:dyDescent="0.3">
      <c r="A46" s="3"/>
    </row>
    <row r="47" spans="1:14" x14ac:dyDescent="0.3">
      <c r="A47" s="4"/>
    </row>
    <row r="48" spans="1:14" x14ac:dyDescent="0.3">
      <c r="A48" s="4"/>
    </row>
    <row r="49" spans="1:1" x14ac:dyDescent="0.3">
      <c r="A49" s="4"/>
    </row>
    <row r="50" spans="1:1" x14ac:dyDescent="0.3">
      <c r="A50" s="4"/>
    </row>
    <row r="54" spans="1:1" x14ac:dyDescent="0.3">
      <c r="A54"/>
    </row>
  </sheetData>
  <pageMargins left="0.7" right="0.7" top="0.75" bottom="0.75" header="0.3" footer="0.3"/>
  <pageSetup scale="89" fitToHeight="0" orientation="portrait" horizontalDpi="0" verticalDpi="0" r:id="rId1"/>
  <headerFooter>
    <oddHeader>&amp;CAuto Glass 2020
Plan for 2031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Base Data</vt:lpstr>
      <vt:lpstr>2026</vt:lpstr>
      <vt:lpstr>2027</vt:lpstr>
      <vt:lpstr>2028</vt:lpstr>
      <vt:lpstr>2029</vt:lpstr>
      <vt:lpstr>2030</vt:lpstr>
      <vt:lpstr>2031</vt:lpstr>
      <vt:lpstr>'2027'!Print_Area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Richard Joliet</cp:lastModifiedBy>
  <cp:lastPrinted>2026-01-31T21:42:48Z</cp:lastPrinted>
  <dcterms:created xsi:type="dcterms:W3CDTF">2022-03-24T08:55:57Z</dcterms:created>
  <dcterms:modified xsi:type="dcterms:W3CDTF">2026-01-31T22:21:09Z</dcterms:modified>
  <cp:category/>
</cp:coreProperties>
</file>