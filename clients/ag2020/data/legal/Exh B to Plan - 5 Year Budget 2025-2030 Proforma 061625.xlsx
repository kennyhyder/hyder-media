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M:\Auto Glass 34877-1\Drafts\"/>
    </mc:Choice>
  </mc:AlternateContent>
  <xr:revisionPtr revIDLastSave="0" documentId="8_{F806DDE9-7A9F-46A0-83F9-7CB97743EA1D}" xr6:coauthVersionLast="47" xr6:coauthVersionMax="47" xr10:uidLastSave="{00000000-0000-0000-0000-000000000000}"/>
  <bookViews>
    <workbookView xWindow="-120" yWindow="-120" windowWidth="29040" windowHeight="15840" xr2:uid="{00000000-000D-0000-FFFF-FFFF00000000}" activeTab="5"/>
  </bookViews>
  <sheets>
    <sheet name="2025" sheetId="7" r:id="rId1"/>
    <sheet name="2026" sheetId="4" r:id="rId2"/>
    <sheet name="2027" sheetId="5" r:id="rId3"/>
    <sheet name="2028" sheetId="6" r:id="rId4"/>
    <sheet name="2029" sheetId="2" r:id="rId5"/>
    <sheet name="2030" sheetId="8" r:id="rId6"/>
  </sheets>
  <definedNames>
    <definedName name="_xlnm.Print_Area" localSheetId="0">'2025'!C1:R60</definedName>
    <definedName name="_xlnm.Print_Area" localSheetId="1">'2026'!C1:P60</definedName>
    <definedName name="_xlnm.Print_Area" localSheetId="2">'2027'!A1:P61</definedName>
    <definedName name="_xlnm.Print_Area" localSheetId="3">'2028'!A1:P60</definedName>
    <definedName name="_xlnm.Print_Area" localSheetId="4">'2029'!A1:P63</definedName>
    <definedName name="_xlnm.Print_Area" localSheetId="5">'2030'!A1:P58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<sst xmlns="http://schemas.openxmlformats.org/spreadsheetml/2006/main">
  <si>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Accounts</t>
  </si>
  <si>
    <t>Income</t>
  </si>
  <si>
    <t xml:space="preserve">   Uncategorized Income</t>
  </si>
  <si>
    <t>Total Income</t>
  </si>
  <si>
    <t>Total Cost of Goods Sold</t>
  </si>
  <si>
    <t>Expense</t>
  </si>
  <si>
    <t xml:space="preserve">   Credit Card Transaction Fees</t>
  </si>
  <si>
    <t xml:space="preserve">   Gasoline</t>
  </si>
  <si>
    <t xml:space="preserve">   Insurance</t>
  </si>
  <si>
    <t xml:space="preserve">      General Liability Insurance</t>
  </si>
  <si>
    <t xml:space="preserve">      Workers Compensation Insurance</t>
  </si>
  <si>
    <t xml:space="preserve">   Legal &amp; accounting services</t>
  </si>
  <si>
    <t xml:space="preserve">      Accounting fees</t>
  </si>
  <si>
    <t xml:space="preserve">      Legal fees</t>
  </si>
  <si>
    <t xml:space="preserve">      Quickbooks online</t>
  </si>
  <si>
    <t xml:space="preserve">   Marketing &amp; Advertising</t>
  </si>
  <si>
    <t xml:space="preserve">   Office expenses</t>
  </si>
  <si>
    <t xml:space="preserve">   Operating Expense</t>
  </si>
  <si>
    <t xml:space="preserve">      Rent</t>
  </si>
  <si>
    <t xml:space="preserve">      Security</t>
  </si>
  <si>
    <t xml:space="preserve">      Storage</t>
  </si>
  <si>
    <t xml:space="preserve">      Utilities</t>
  </si>
  <si>
    <t xml:space="preserve">         Phone service</t>
  </si>
  <si>
    <t xml:space="preserve">   Payroll expenses</t>
  </si>
  <si>
    <t xml:space="preserve">      Taxes</t>
  </si>
  <si>
    <t xml:space="preserve">      Wages</t>
  </si>
  <si>
    <t xml:space="preserve">   Supplies &amp; Equipment</t>
  </si>
  <si>
    <t xml:space="preserve">      Equipment Maintenance</t>
  </si>
  <si>
    <t xml:space="preserve">   Supplies &amp; Materials</t>
  </si>
  <si>
    <t>Total Expense</t>
  </si>
  <si>
    <t>Total Net Income</t>
  </si>
  <si>
    <t>TOTAL</t>
  </si>
  <si>
    <t>.</t>
  </si>
  <si>
    <t>SBA LOAN</t>
  </si>
  <si>
    <t>budget</t>
  </si>
  <si>
    <t>Administrative Claims</t>
  </si>
  <si>
    <t>Priority Tax Claims</t>
  </si>
  <si>
    <t>Unsecured Creditor Claims</t>
  </si>
  <si>
    <t>Auto Glass 2020</t>
  </si>
  <si>
    <t># of Installations</t>
  </si>
  <si>
    <t>Install Revenue</t>
  </si>
  <si>
    <t>Truck &amp; Auto Exp</t>
  </si>
  <si>
    <t xml:space="preserve">      Dues &amp; subscriptions</t>
  </si>
  <si>
    <t>Rebate Incentives</t>
  </si>
  <si>
    <t xml:space="preserve">         Internet</t>
  </si>
  <si>
    <t xml:space="preserve">      Supplies</t>
  </si>
  <si>
    <t>Gross Margin</t>
  </si>
  <si>
    <t>Month Profit</t>
  </si>
  <si>
    <t>Materials- Installation</t>
  </si>
  <si>
    <t>Average Billing</t>
  </si>
  <si>
    <t xml:space="preserve">        SRP</t>
  </si>
  <si>
    <t>Sale Tax Payments</t>
  </si>
  <si>
    <t>Ally 1</t>
  </si>
  <si>
    <t>Ally 2</t>
  </si>
  <si>
    <t>Ally 3</t>
  </si>
  <si>
    <t>Navatias</t>
  </si>
  <si>
    <t>Amur</t>
  </si>
  <si>
    <t>Channel</t>
  </si>
  <si>
    <t>First Foundation</t>
  </si>
  <si>
    <t>Total Debt - Secured Payments</t>
  </si>
  <si>
    <t>CashFlow after Debt Payments</t>
  </si>
  <si>
    <t>Total Secured Debt Payments</t>
  </si>
  <si>
    <t>Total Debt Payments</t>
  </si>
  <si>
    <t>Total Net Cash Flow</t>
  </si>
  <si>
    <t>Replacement Auto loans</t>
  </si>
  <si>
    <t>New Vehicle loans</t>
  </si>
  <si>
    <t>Total Secure Loans</t>
  </si>
  <si>
    <t xml:space="preserve">Income Tax </t>
  </si>
  <si>
    <t>Income Tax</t>
  </si>
  <si>
    <t>Jan-Aug</t>
  </si>
  <si>
    <t>Total Cash Flow</t>
  </si>
  <si>
    <t>Cash Flow</t>
  </si>
  <si>
    <t>Effective Date</t>
  </si>
  <si>
    <t>Effective date assumed to be 9/1/25</t>
  </si>
  <si>
    <t xml:space="preserve"> 9/01/2025</t>
  </si>
  <si>
    <t>September - December</t>
  </si>
  <si>
    <t>TOTALS</t>
  </si>
  <si>
    <t>Cash on Hand - Effective Date 9/1/25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</si>
</sst>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1" xfId="0" applyBorder="1"/>
    <xf numFmtId="17" fontId="2" fillId="0" borderId="1" xfId="0" applyNumberFormat="1" applyFont="1" applyBorder="1" applyAlignment="1">
      <alignment horizontal="center" vertical="center"/>
    </xf>
    <xf numFmtId="44" fontId="0" fillId="0" borderId="1" xfId="1" applyFont="1" applyBorder="1"/>
    <xf numFmtId="44" fontId="0" fillId="0" borderId="1" xfId="0" applyNumberFormat="1" applyBorder="1"/>
    <xf numFmtId="0" fontId="2" fillId="0" borderId="1" xfId="0" applyFont="1" applyBorder="1"/>
    <xf numFmtId="44" fontId="2" fillId="0" borderId="1" xfId="1" applyFont="1" applyBorder="1"/>
    <xf numFmtId="44" fontId="2" fillId="0" borderId="1" xfId="0" applyNumberFormat="1" applyFont="1" applyBorder="1"/>
    <xf numFmtId="9" fontId="0" fillId="0" borderId="1" xfId="2" applyFont="1" applyBorder="1"/>
    <xf numFmtId="9" fontId="2" fillId="0" borderId="1" xfId="2" applyFont="1" applyBorder="1"/>
    <xf numFmtId="44" fontId="0" fillId="0" borderId="1" xfId="1" applyFont="1" applyFill="1" applyBorder="1"/>
    <xf numFmtId="9" fontId="0" fillId="0" borderId="1" xfId="2" applyFont="1" applyFill="1" applyBorder="1"/>
    <xf numFmtId="0" fontId="2" fillId="0" borderId="2" xfId="0" applyFont="1" applyBorder="1"/>
    <xf numFmtId="9" fontId="2" fillId="0" borderId="0" xfId="2" applyFont="1"/>
    <xf numFmtId="9" fontId="2" fillId="0" borderId="0" xfId="0" applyNumberFormat="1" applyFont="1"/>
    <xf numFmtId="0" fontId="0" fillId="0" borderId="2" xfId="0" applyBorder="1"/>
    <xf numFmtId="44" fontId="0" fillId="0" borderId="0" xfId="0" applyNumberFormat="1"/>
    <xf numFmtId="0" fontId="2" fillId="0" borderId="0" xfId="0" applyFont="1"/>
    <xf numFmtId="44" fontId="0" fillId="2" borderId="1" xfId="1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/>
    <xf numFmtId="0" fontId="0" fillId="3" borderId="0" xfId="0" applyFill="1"/>
    <xf numFmtId="9" fontId="0" fillId="0" borderId="1" xfId="0" applyNumberForma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0" fillId="0" borderId="0" xfId="1" applyFont="1" applyBorder="1"/>
    <xf numFmtId="9" fontId="0" fillId="0" borderId="0" xfId="2" applyFont="1" applyBorder="1"/>
    <xf numFmtId="44" fontId="0" fillId="0" borderId="0" xfId="1" applyFont="1" applyFill="1" applyBorder="1"/>
    <xf numFmtId="44" fontId="0" fillId="0" borderId="3" xfId="0" applyNumberFormat="1" applyBorder="1"/>
    <xf numFmtId="44" fontId="0" fillId="0" borderId="4" xfId="1" applyFont="1" applyFill="1" applyBorder="1"/>
    <xf numFmtId="43" fontId="0" fillId="0" borderId="1" xfId="3" applyFont="1" applyBorder="1"/>
    <xf numFmtId="0" fontId="0" fillId="0" borderId="5" xfId="0" applyBorder="1"/>
    <xf numFmtId="44" fontId="0" fillId="0" borderId="5" xfId="0" applyNumberFormat="1" applyBorder="1"/>
    <xf numFmtId="43" fontId="0" fillId="0" borderId="5" xfId="3" applyFont="1" applyBorder="1"/>
    <xf numFmtId="0" fontId="0" fillId="4" borderId="1" xfId="0" applyFill="1" applyBorder="1"/>
    <xf numFmtId="43" fontId="0" fillId="0" borderId="0" xfId="3" applyFont="1"/>
    <xf numFmtId="9" fontId="2" fillId="0" borderId="1" xfId="0" applyNumberFormat="1" applyFont="1" applyBorder="1"/>
    <xf numFmtId="44" fontId="2" fillId="0" borderId="0" xfId="1" applyFont="1" applyFill="1" applyBorder="1"/>
    <xf numFmtId="164" fontId="2" fillId="0" borderId="1" xfId="0" applyNumberFormat="1" applyFont="1" applyBorder="1" applyAlignment="1">
      <alignment horizontal="center" vertical="center"/>
    </xf>
    <xf numFmtId="43" fontId="0" fillId="0" borderId="3" xfId="3" applyFont="1" applyBorder="1"/>
    <xf numFmtId="43" fontId="0" fillId="0" borderId="6" xfId="3" applyFont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4"/>
  <sheetViews>
    <sheetView topLeftCell="A35" workbookViewId="0">
      <selection activeCell="P59" sqref="P59"/>
    </sheetView>
  </sheetViews>
  <sheetFormatPr defaultRowHeight="15.75" x14ac:dyDescent="0.25" outlineLevelRow="0" outlineLevelCol="0"/>
  <cols>
    <col min="1" max="1" width="0" hidden="1" customWidth="1"/>
    <col min="2" max="2" width="0" hidden="1" customWidth="1"/>
    <col min="3" max="3" width="32.125" customWidth="1"/>
    <col min="4" max="4" width="12.75" customWidth="1"/>
    <col min="5" max="5" width="12.625" customWidth="1"/>
    <col min="6" max="6" width="12.25" hidden="1" customWidth="1"/>
    <col min="7" max="7" width="11.375" hidden="1" customWidth="1"/>
    <col min="8" max="8" width="12.25" customWidth="1"/>
    <col min="9" max="9" width="14.125" customWidth="1"/>
    <col min="10" max="10" width="15.125" customWidth="1"/>
    <col min="11" max="11" width="15.125" customWidth="1"/>
    <col min="12" max="12" width="15.25" customWidth="1"/>
    <col min="13" max="13" width="12.625" customWidth="1"/>
    <col min="14" max="14" width="13.625" customWidth="1"/>
    <col min="15" max="15" width="12.125" customWidth="1"/>
    <col min="16" max="16" width="14" customWidth="1"/>
    <col min="17" max="17" width="13.75" customWidth="1"/>
    <col min="18" max="18" width="20.5" customWidth="1"/>
  </cols>
  <sheetData>
    <row r="1">
      <c r="C1" s="30" t="s">
        <v>38</v>
      </c>
      <c r="E1" s="3" t="s">
        <v>72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C2" s="3" t="s">
        <v>0</v>
      </c>
      <c r="E2" s="4" t="s">
        <v>74</v>
      </c>
      <c r="F2" s="4">
        <v>45686</v>
      </c>
      <c r="G2" s="4">
        <v>45716</v>
      </c>
      <c r="H2" s="4">
        <v>45745</v>
      </c>
      <c r="I2" s="4">
        <v>45776</v>
      </c>
      <c r="J2" s="4">
        <v>45806</v>
      </c>
      <c r="K2" s="4">
        <v>45837</v>
      </c>
      <c r="L2" s="4">
        <v>45867</v>
      </c>
      <c r="M2" s="4">
        <v>45898</v>
      </c>
      <c r="N2" s="4">
        <v>45929</v>
      </c>
      <c r="O2" s="4">
        <v>45959</v>
      </c>
      <c r="P2" s="4">
        <v>45990</v>
      </c>
      <c r="Q2" s="4">
        <v>46020</v>
      </c>
      <c r="R2" s="7" t="s">
        <v>75</v>
      </c>
    </row>
    <row r="3">
      <c r="C3" s="3" t="s">
        <v>1</v>
      </c>
      <c r="D3" s="3"/>
      <c r="E3" s="5"/>
      <c r="F3" s="29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32</v>
      </c>
      <c r="R3" s="3"/>
    </row>
    <row r="4">
      <c r="C4" s="3" t="s">
        <v>39</v>
      </c>
      <c r="D4" s="3"/>
      <c r="E4" s="5"/>
      <c r="F4" s="3"/>
      <c r="G4" s="3"/>
      <c r="H4" s="3">
        <v>400</v>
      </c>
      <c r="I4" s="3">
        <v>450</v>
      </c>
      <c r="J4" s="3">
        <v>450</v>
      </c>
      <c r="K4" s="3">
        <v>450</v>
      </c>
      <c r="L4" s="3">
        <v>500</v>
      </c>
      <c r="M4" s="3">
        <v>500</v>
      </c>
      <c r="N4" s="3">
        <v>450</v>
      </c>
      <c r="O4" s="3">
        <v>425</v>
      </c>
      <c r="P4" s="3">
        <v>425</v>
      </c>
      <c r="Q4" s="3">
        <v>425</v>
      </c>
      <c r="R4" s="23" t="s">
        <v>76</v>
      </c>
    </row>
    <row r="5">
      <c r="C5" s="3" t="s">
        <v>40</v>
      </c>
      <c r="D5" s="5"/>
      <c r="E5" s="10"/>
      <c r="F5" s="5"/>
      <c r="G5" s="5"/>
      <c r="H5" s="5">
        <f>H4*750*1.08</f>
        <v>324000</v>
      </c>
      <c r="I5" s="5">
        <f>I4*750*1.08</f>
        <v>364500</v>
      </c>
      <c r="J5" s="5">
        <f>J4*750*1.08</f>
        <v>364500</v>
      </c>
      <c r="K5" s="5">
        <f>K4*750*1.08</f>
        <v>364500</v>
      </c>
      <c r="L5" s="5">
        <f>L4*750*1.08</f>
        <v>405000</v>
      </c>
      <c r="M5" s="5">
        <f>M4*750*1.08</f>
        <v>405000</v>
      </c>
      <c r="N5" s="5">
        <f>N4*750*1.08</f>
        <v>364500</v>
      </c>
      <c r="O5" s="5">
        <f>O4*750*1.08</f>
        <v>344250</v>
      </c>
      <c r="P5" s="5">
        <f>P4*750*1.08</f>
        <v>344250</v>
      </c>
      <c r="Q5" s="5">
        <f>Q4*750*1.08</f>
        <v>344250</v>
      </c>
      <c r="R5" s="6">
        <f>SUM(N5:Q5)</f>
        <v>1397250</v>
      </c>
    </row>
    <row r="6">
      <c r="C6" s="3" t="s">
        <v>49</v>
      </c>
      <c r="D6" s="3"/>
      <c r="E6" s="10"/>
      <c r="F6" s="6"/>
      <c r="G6" s="6"/>
      <c r="H6" s="6">
        <f>H5/H4</f>
        <v>810</v>
      </c>
      <c r="I6" s="6">
        <f>I5/I4</f>
        <v>810</v>
      </c>
      <c r="J6" s="6">
        <f>J5/J4</f>
        <v>810</v>
      </c>
      <c r="K6" s="6">
        <f>K5/K4</f>
        <v>810</v>
      </c>
      <c r="L6" s="6">
        <f>L5/L4</f>
        <v>810</v>
      </c>
      <c r="M6" s="6">
        <f>M5/M4</f>
        <v>810</v>
      </c>
      <c r="N6" s="6">
        <f>N5/N4</f>
        <v>810</v>
      </c>
      <c r="O6" s="6">
        <f>O5/O4</f>
        <v>810</v>
      </c>
      <c r="P6" s="6">
        <f>P5/P4</f>
        <v>810</v>
      </c>
      <c r="Q6" s="6">
        <f>Q5/Q4</f>
        <v>810</v>
      </c>
      <c r="R6" s="3"/>
    </row>
    <row r="7">
      <c r="C7" s="17" t="s">
        <v>43</v>
      </c>
      <c r="D7" s="3"/>
      <c r="E7" s="3"/>
      <c r="F7" s="3"/>
      <c r="G7" s="3"/>
      <c r="H7" s="3">
        <v>21000</v>
      </c>
      <c r="I7" s="3">
        <v>21000</v>
      </c>
      <c r="J7" s="3">
        <v>21000</v>
      </c>
      <c r="K7" s="3">
        <v>21000</v>
      </c>
      <c r="L7" s="3">
        <v>21000</v>
      </c>
      <c r="M7" s="3">
        <v>21000</v>
      </c>
      <c r="N7" s="3">
        <v>21000</v>
      </c>
      <c r="O7" s="3">
        <v>21000</v>
      </c>
      <c r="P7" s="3">
        <v>21000</v>
      </c>
      <c r="Q7" s="3">
        <v>21000</v>
      </c>
      <c r="R7" s="36">
        <f>SUM(N7:Q7)</f>
        <v>84000</v>
      </c>
    </row>
    <row r="8">
      <c r="C8" s="7" t="s">
        <v>3</v>
      </c>
      <c r="D8" s="9"/>
      <c r="E8" s="9"/>
      <c r="F8" s="9"/>
      <c r="G8" s="9"/>
      <c r="H8" s="9">
        <f>H5-H7</f>
        <v>303000</v>
      </c>
      <c r="I8" s="9">
        <f>I5-I7</f>
        <v>343500</v>
      </c>
      <c r="J8" s="9">
        <f>J5-J7</f>
        <v>343500</v>
      </c>
      <c r="K8" s="9">
        <f>K5-K7</f>
        <v>343500</v>
      </c>
      <c r="L8" s="9">
        <f>L5-L7</f>
        <v>384000</v>
      </c>
      <c r="M8" s="9">
        <f>M5-M7</f>
        <v>384000</v>
      </c>
      <c r="N8" s="9">
        <f>N5-N7</f>
        <v>343500</v>
      </c>
      <c r="O8" s="9">
        <f>O5-O7</f>
        <v>323250</v>
      </c>
      <c r="P8" s="9">
        <f>P5-P7</f>
        <v>323250</v>
      </c>
      <c r="Q8" s="9">
        <f>Q5-Q7</f>
        <v>323250</v>
      </c>
      <c r="R8" s="9">
        <f>SUM(N8:Q8)</f>
        <v>1313250</v>
      </c>
    </row>
    <row r="9">
      <c r="C9" s="22" t="s">
        <v>48</v>
      </c>
      <c r="D9" s="6"/>
      <c r="E9" s="27"/>
      <c r="F9" s="6"/>
      <c r="G9" s="6"/>
      <c r="H9" s="6">
        <f>H5*26%</f>
        <v>84240</v>
      </c>
      <c r="I9" s="6">
        <f>I5*26%</f>
        <v>94770</v>
      </c>
      <c r="J9" s="6">
        <f>J5*26%</f>
        <v>94770</v>
      </c>
      <c r="K9" s="6">
        <f>K5*26%</f>
        <v>94770</v>
      </c>
      <c r="L9" s="6">
        <f>L5*26%</f>
        <v>105300</v>
      </c>
      <c r="M9" s="6">
        <f>M5*26%</f>
        <v>105300</v>
      </c>
      <c r="N9" s="6">
        <f>N5*26%</f>
        <v>94770</v>
      </c>
      <c r="O9" s="6">
        <f>O5*26%</f>
        <v>89505</v>
      </c>
      <c r="P9" s="6">
        <f>P5*26%</f>
        <v>89505</v>
      </c>
      <c r="Q9" s="6">
        <f>Q5*26%</f>
        <v>89505</v>
      </c>
      <c r="R9" s="6">
        <f>SUM(N9:Q9)</f>
        <v>363285</v>
      </c>
      <c r="S9" s="18"/>
    </row>
    <row r="10">
      <c r="C10" s="7" t="s">
        <v>4</v>
      </c>
      <c r="D10" s="8"/>
      <c r="E10" s="8"/>
      <c r="F10" s="8"/>
      <c r="G10" s="8"/>
      <c r="H10" s="8">
        <f>H9</f>
        <v>84240</v>
      </c>
      <c r="I10" s="8">
        <f>I9</f>
        <v>94770</v>
      </c>
      <c r="J10" s="8">
        <f>J9</f>
        <v>94770</v>
      </c>
      <c r="K10" s="8">
        <f>K9</f>
        <v>94770</v>
      </c>
      <c r="L10" s="8">
        <f>L9</f>
        <v>105300</v>
      </c>
      <c r="M10" s="8">
        <f>M9</f>
        <v>105300</v>
      </c>
      <c r="N10" s="8">
        <f>N9</f>
        <v>94770</v>
      </c>
      <c r="O10" s="8">
        <f>O9</f>
        <v>89505</v>
      </c>
      <c r="P10" s="8">
        <f>P9</f>
        <v>89505</v>
      </c>
      <c r="Q10" s="8">
        <f>Q9</f>
        <v>89505</v>
      </c>
      <c r="R10" s="8">
        <f>R9</f>
        <v>363285</v>
      </c>
    </row>
    <row r="11">
      <c r="C11" s="7" t="s">
        <v>46</v>
      </c>
      <c r="D11" s="8"/>
      <c r="E11" s="8"/>
      <c r="F11" s="8"/>
      <c r="G11" s="8"/>
      <c r="H11" s="8">
        <f>H8-H10</f>
        <v>218760</v>
      </c>
      <c r="I11" s="8">
        <f>I8-I10</f>
        <v>248730</v>
      </c>
      <c r="J11" s="8">
        <f>J8-J10</f>
        <v>248730</v>
      </c>
      <c r="K11" s="8">
        <f>K8-K10</f>
        <v>248730</v>
      </c>
      <c r="L11" s="8">
        <f>L8-L10</f>
        <v>278700</v>
      </c>
      <c r="M11" s="8">
        <f>M8-M10</f>
        <v>278700</v>
      </c>
      <c r="N11" s="8">
        <f>N8-N10</f>
        <v>248730</v>
      </c>
      <c r="O11" s="8">
        <f>O8-O10</f>
        <v>233745</v>
      </c>
      <c r="P11" s="8">
        <f>P8-P10</f>
        <v>233745</v>
      </c>
      <c r="Q11" s="8">
        <f>Q8-Q10</f>
        <v>233745</v>
      </c>
      <c r="R11" s="8">
        <f>R8-R10</f>
        <v>949965</v>
      </c>
    </row>
    <row r="12">
      <c r="C12" s="28" t="s">
        <v>5</v>
      </c>
      <c r="D12" s="3"/>
      <c r="E12" s="11"/>
      <c r="F12" s="3"/>
      <c r="G12" s="3"/>
      <c r="H12" s="3">
        <v>218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C13" s="3" t="s">
        <v>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C14" s="23" t="s">
        <v>7</v>
      </c>
      <c r="D14" s="5"/>
      <c r="E14" s="5"/>
      <c r="F14" s="5"/>
      <c r="G14" s="5"/>
      <c r="H14" s="5">
        <v>7000</v>
      </c>
      <c r="I14" s="5">
        <v>7000</v>
      </c>
      <c r="J14" s="5">
        <v>7000</v>
      </c>
      <c r="K14" s="5">
        <v>7000</v>
      </c>
      <c r="L14" s="5">
        <v>7000</v>
      </c>
      <c r="M14" s="5">
        <v>7000</v>
      </c>
      <c r="N14" s="5">
        <v>7000</v>
      </c>
      <c r="O14" s="5">
        <v>7000</v>
      </c>
      <c r="P14" s="5">
        <v>7000</v>
      </c>
      <c r="Q14" s="5">
        <v>7000</v>
      </c>
      <c r="R14" s="5">
        <f>SUM(N14:Q14)</f>
        <v>28000</v>
      </c>
    </row>
    <row r="15">
      <c r="C15" s="23" t="s">
        <v>41</v>
      </c>
      <c r="D15" s="5"/>
      <c r="E15" s="5"/>
      <c r="F15" s="5"/>
      <c r="G15" s="5"/>
      <c r="H15" s="5">
        <v>2500</v>
      </c>
      <c r="I15" s="5">
        <v>2500</v>
      </c>
      <c r="J15" s="5">
        <v>2500</v>
      </c>
      <c r="K15" s="5">
        <v>2500</v>
      </c>
      <c r="L15" s="5">
        <v>2500</v>
      </c>
      <c r="M15" s="5">
        <v>2500</v>
      </c>
      <c r="N15" s="5">
        <v>2500</v>
      </c>
      <c r="O15" s="5">
        <v>2500</v>
      </c>
      <c r="P15" s="5">
        <v>2500</v>
      </c>
      <c r="Q15" s="5">
        <v>2500</v>
      </c>
      <c r="R15" s="5">
        <f>SUM(N15:Q15)</f>
        <v>10000</v>
      </c>
    </row>
    <row r="16">
      <c r="C16" s="23" t="s">
        <v>42</v>
      </c>
      <c r="D16" s="5"/>
      <c r="E16" s="5"/>
      <c r="F16" s="5"/>
      <c r="G16" s="5"/>
      <c r="H16" s="5">
        <v>560</v>
      </c>
      <c r="I16" s="5">
        <v>560</v>
      </c>
      <c r="J16" s="5">
        <v>560</v>
      </c>
      <c r="K16" s="5">
        <v>560</v>
      </c>
      <c r="L16" s="5">
        <v>560</v>
      </c>
      <c r="M16" s="5">
        <v>560</v>
      </c>
      <c r="N16" s="5">
        <v>560</v>
      </c>
      <c r="O16" s="5">
        <v>560</v>
      </c>
      <c r="P16" s="5">
        <v>560</v>
      </c>
      <c r="Q16" s="5">
        <v>560</v>
      </c>
      <c r="R16" s="5">
        <f>SUM(N16:Q16)</f>
        <v>2240</v>
      </c>
    </row>
    <row r="17" customFormat="1" s="26">
      <c r="C17" s="24" t="s">
        <v>8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5">
        <f>SUM(N17:Q17)</f>
        <v>0</v>
      </c>
    </row>
    <row r="18">
      <c r="C18" s="3" t="s">
        <v>9</v>
      </c>
      <c r="D18" s="5"/>
      <c r="E18" s="5"/>
      <c r="F18" s="5"/>
      <c r="G18" s="5"/>
      <c r="H18" s="5">
        <v>7200</v>
      </c>
      <c r="I18" s="5">
        <v>7200</v>
      </c>
      <c r="J18" s="5">
        <v>7200</v>
      </c>
      <c r="K18" s="5">
        <v>7200</v>
      </c>
      <c r="L18" s="5">
        <v>7200</v>
      </c>
      <c r="M18" s="5">
        <v>7200</v>
      </c>
      <c r="N18" s="5">
        <v>7200</v>
      </c>
      <c r="O18" s="5">
        <v>7200</v>
      </c>
      <c r="P18" s="5">
        <v>7200</v>
      </c>
      <c r="Q18" s="5">
        <v>7200</v>
      </c>
      <c r="R18" s="5">
        <f>SUM(N18:Q18)</f>
        <v>28800</v>
      </c>
    </row>
    <row r="19">
      <c r="C19" s="22" t="s">
        <v>10</v>
      </c>
      <c r="D19" s="5"/>
      <c r="E19" s="5"/>
      <c r="F19" s="5"/>
      <c r="G19" s="5"/>
      <c r="H19" s="5">
        <v>626</v>
      </c>
      <c r="I19" s="5">
        <v>626</v>
      </c>
      <c r="J19" s="5">
        <v>626</v>
      </c>
      <c r="K19" s="5">
        <v>626</v>
      </c>
      <c r="L19" s="5">
        <v>626</v>
      </c>
      <c r="M19" s="5">
        <v>626</v>
      </c>
      <c r="N19" s="5">
        <v>626</v>
      </c>
      <c r="O19" s="5">
        <v>626</v>
      </c>
      <c r="P19" s="5">
        <v>626</v>
      </c>
      <c r="Q19" s="5">
        <v>626</v>
      </c>
      <c r="R19" s="5">
        <f>SUM(N19:Q19)</f>
        <v>2504</v>
      </c>
    </row>
    <row r="20" customFormat="1" s="26">
      <c r="C20" s="24" t="s">
        <v>11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5">
        <f>SUM(N20:Q20)</f>
        <v>0</v>
      </c>
    </row>
    <row r="21">
      <c r="C21" s="3" t="s">
        <v>12</v>
      </c>
      <c r="D21" s="5"/>
      <c r="E21" s="5"/>
      <c r="F21" s="5"/>
      <c r="G21" s="5"/>
      <c r="H21" s="5">
        <v>3500</v>
      </c>
      <c r="I21" s="5">
        <v>3500</v>
      </c>
      <c r="J21" s="5">
        <v>3500</v>
      </c>
      <c r="K21" s="5">
        <v>3500</v>
      </c>
      <c r="L21" s="5">
        <v>3500</v>
      </c>
      <c r="M21" s="5">
        <v>3500</v>
      </c>
      <c r="N21" s="5">
        <v>3500</v>
      </c>
      <c r="O21" s="5">
        <v>3500</v>
      </c>
      <c r="P21" s="5">
        <v>3500</v>
      </c>
      <c r="Q21" s="5">
        <v>3500</v>
      </c>
      <c r="R21" s="5">
        <f>SUM(N21:Q21)</f>
        <v>14000</v>
      </c>
    </row>
    <row r="22">
      <c r="C22" s="3" t="s">
        <v>13</v>
      </c>
      <c r="D22" s="5"/>
      <c r="E22" s="5"/>
      <c r="F22" s="5"/>
      <c r="G22" s="5"/>
      <c r="H22" s="5">
        <v>4000</v>
      </c>
      <c r="I22" s="5">
        <v>4000</v>
      </c>
      <c r="J22" s="5">
        <v>4000</v>
      </c>
      <c r="K22" s="5">
        <v>4000</v>
      </c>
      <c r="L22" s="5">
        <v>4000</v>
      </c>
      <c r="M22" s="5">
        <v>4000</v>
      </c>
      <c r="N22" s="5">
        <v>4000</v>
      </c>
      <c r="O22" s="5">
        <v>4000</v>
      </c>
      <c r="P22" s="5">
        <v>4000</v>
      </c>
      <c r="Q22" s="5">
        <v>4000</v>
      </c>
      <c r="R22" s="5">
        <f>SUM(N22:Q22)</f>
        <v>16000</v>
      </c>
    </row>
    <row r="23">
      <c r="C23" s="3" t="s">
        <v>14</v>
      </c>
      <c r="D23" s="5"/>
      <c r="E23" s="5"/>
      <c r="F23" s="5"/>
      <c r="G23" s="5"/>
      <c r="H23" s="5">
        <v>125</v>
      </c>
      <c r="I23" s="5">
        <v>125</v>
      </c>
      <c r="J23" s="5">
        <v>125</v>
      </c>
      <c r="K23" s="5">
        <v>125</v>
      </c>
      <c r="L23" s="5">
        <v>125</v>
      </c>
      <c r="M23" s="5">
        <v>125</v>
      </c>
      <c r="N23" s="5">
        <v>125</v>
      </c>
      <c r="O23" s="5">
        <v>125</v>
      </c>
      <c r="P23" s="5">
        <v>125</v>
      </c>
      <c r="Q23" s="5">
        <v>125</v>
      </c>
      <c r="R23" s="5">
        <f>SUM(N23:Q23)</f>
        <v>500</v>
      </c>
    </row>
    <row r="24">
      <c r="C24" s="21" t="s">
        <v>51</v>
      </c>
      <c r="D24" s="5"/>
      <c r="E24" s="5"/>
      <c r="F24" s="5"/>
      <c r="G24" s="5"/>
      <c r="H24" s="5">
        <f>H5*0.065</f>
        <v>21060</v>
      </c>
      <c r="I24" s="5">
        <f>I5*0.065</f>
        <v>23692.5</v>
      </c>
      <c r="J24" s="5">
        <f>J5*0.065</f>
        <v>23692.5</v>
      </c>
      <c r="K24" s="5">
        <f>K5*0.065</f>
        <v>23692.5</v>
      </c>
      <c r="L24" s="5">
        <f>L5*0.065</f>
        <v>26325</v>
      </c>
      <c r="M24" s="5">
        <f>M5*0.065</f>
        <v>26325</v>
      </c>
      <c r="N24" s="5">
        <f>N5*0.065</f>
        <v>23692.5</v>
      </c>
      <c r="O24" s="5">
        <f>O5*0.065</f>
        <v>22376.25</v>
      </c>
      <c r="P24" s="5">
        <f>P5*0.065</f>
        <v>22376.25</v>
      </c>
      <c r="Q24" s="5">
        <f>Q5*0.065</f>
        <v>22376.25</v>
      </c>
      <c r="R24" s="5">
        <f>SUM(N24:Q24)</f>
        <v>90821.25</v>
      </c>
    </row>
    <row r="25">
      <c r="C25" s="40" t="s">
        <v>67</v>
      </c>
      <c r="D25" s="5"/>
      <c r="E25" s="5"/>
      <c r="F25" s="5"/>
      <c r="G25" s="5"/>
      <c r="H25" s="5"/>
      <c r="I25" s="5">
        <v>5000</v>
      </c>
      <c r="J25" s="5">
        <v>5000</v>
      </c>
      <c r="K25" s="5">
        <v>5000</v>
      </c>
      <c r="L25" s="5">
        <v>5000</v>
      </c>
      <c r="M25" s="5">
        <v>5000</v>
      </c>
      <c r="N25" s="5">
        <v>5000</v>
      </c>
      <c r="O25" s="5">
        <v>5000</v>
      </c>
      <c r="P25" s="5">
        <v>5000</v>
      </c>
      <c r="Q25" s="5">
        <v>5000</v>
      </c>
      <c r="R25" s="5">
        <f>SUM(N25:Q25)</f>
        <v>20000</v>
      </c>
    </row>
    <row r="26">
      <c r="C26" s="3" t="s">
        <v>15</v>
      </c>
      <c r="D26" s="5"/>
      <c r="E26" s="5"/>
      <c r="F26" s="5"/>
      <c r="G26" s="5"/>
      <c r="H26" s="5">
        <v>15000</v>
      </c>
      <c r="I26" s="5">
        <v>25000</v>
      </c>
      <c r="J26" s="5">
        <v>25000</v>
      </c>
      <c r="K26" s="5">
        <v>25000</v>
      </c>
      <c r="L26" s="5">
        <v>25000</v>
      </c>
      <c r="M26" s="5">
        <v>25000</v>
      </c>
      <c r="N26" s="5">
        <v>25000</v>
      </c>
      <c r="O26" s="5">
        <v>25000</v>
      </c>
      <c r="P26" s="5">
        <v>20000</v>
      </c>
      <c r="Q26" s="5">
        <v>20000</v>
      </c>
      <c r="R26" s="5">
        <f>SUM(N26:Q26)</f>
        <v>90000</v>
      </c>
    </row>
    <row r="27">
      <c r="C27" s="3" t="s">
        <v>16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>SUM(F27:Q27)</f>
        <v>0</v>
      </c>
    </row>
    <row r="28" customFormat="1" s="26">
      <c r="C28" s="24" t="s">
        <v>17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5"/>
    </row>
    <row r="29">
      <c r="C29" s="3" t="s">
        <v>18</v>
      </c>
      <c r="D29" s="5"/>
      <c r="E29" s="5"/>
      <c r="F29" s="5"/>
      <c r="G29" s="5"/>
      <c r="H29" s="5">
        <v>4501</v>
      </c>
      <c r="I29" s="5">
        <v>4501</v>
      </c>
      <c r="J29" s="5">
        <v>4501</v>
      </c>
      <c r="K29" s="5">
        <v>4501</v>
      </c>
      <c r="L29" s="5">
        <v>4501</v>
      </c>
      <c r="M29" s="5">
        <v>4501</v>
      </c>
      <c r="N29" s="5">
        <v>4501</v>
      </c>
      <c r="O29" s="5">
        <v>4501</v>
      </c>
      <c r="P29" s="5">
        <v>4501</v>
      </c>
      <c r="Q29" s="5">
        <v>4501</v>
      </c>
      <c r="R29" s="5">
        <f>SUM(N29:Q29)</f>
        <v>18004</v>
      </c>
    </row>
    <row r="30">
      <c r="C30" s="3" t="s">
        <v>19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>SUM(F30:Q30)</f>
        <v>0</v>
      </c>
    </row>
    <row r="31">
      <c r="C31" s="3" t="s">
        <v>20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>SUM(F31:Q31)</f>
        <v>0</v>
      </c>
    </row>
    <row r="32" customFormat="1" s="26">
      <c r="C32" s="24" t="s">
        <v>21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5"/>
    </row>
    <row r="33">
      <c r="C33" s="3" t="s">
        <v>50</v>
      </c>
      <c r="D33" s="5"/>
      <c r="E33" s="5"/>
      <c r="F33" s="5"/>
      <c r="G33" s="5"/>
      <c r="H33" s="5">
        <v>500</v>
      </c>
      <c r="I33" s="5">
        <v>500</v>
      </c>
      <c r="J33" s="5">
        <v>500</v>
      </c>
      <c r="K33" s="5">
        <v>500</v>
      </c>
      <c r="L33" s="5">
        <v>500</v>
      </c>
      <c r="M33" s="5">
        <v>500</v>
      </c>
      <c r="N33" s="5">
        <v>500</v>
      </c>
      <c r="O33" s="5">
        <v>500</v>
      </c>
      <c r="P33" s="5">
        <v>500</v>
      </c>
      <c r="Q33" s="5">
        <v>500</v>
      </c>
      <c r="R33" s="5">
        <f>SUM(N33:Q33)</f>
        <v>2000</v>
      </c>
    </row>
    <row r="34">
      <c r="C34" s="3" t="s">
        <v>44</v>
      </c>
      <c r="D34" s="5"/>
      <c r="E34" s="5"/>
      <c r="F34" s="5"/>
      <c r="G34" s="5"/>
      <c r="H34" s="5">
        <v>500</v>
      </c>
      <c r="I34" s="5">
        <v>500</v>
      </c>
      <c r="J34" s="5">
        <v>500</v>
      </c>
      <c r="K34" s="5">
        <v>500</v>
      </c>
      <c r="L34" s="5">
        <v>500</v>
      </c>
      <c r="M34" s="5">
        <v>500</v>
      </c>
      <c r="N34" s="5">
        <v>500</v>
      </c>
      <c r="O34" s="5">
        <v>500</v>
      </c>
      <c r="P34" s="5">
        <v>500</v>
      </c>
      <c r="Q34" s="5">
        <v>500</v>
      </c>
      <c r="R34" s="5">
        <f>SUM(N34:Q34)</f>
        <v>2000</v>
      </c>
    </row>
    <row r="35">
      <c r="C35" s="3" t="s">
        <v>22</v>
      </c>
      <c r="D35" s="5"/>
      <c r="E35" s="5"/>
      <c r="F35" s="5"/>
      <c r="G35" s="5"/>
      <c r="H35" s="5">
        <v>1560</v>
      </c>
      <c r="I35" s="5">
        <v>1560</v>
      </c>
      <c r="J35" s="5">
        <v>1560</v>
      </c>
      <c r="K35" s="5">
        <v>1560</v>
      </c>
      <c r="L35" s="5">
        <v>1560</v>
      </c>
      <c r="M35" s="5">
        <v>1560</v>
      </c>
      <c r="N35" s="5">
        <v>1560</v>
      </c>
      <c r="O35" s="5">
        <v>1560</v>
      </c>
      <c r="P35" s="5">
        <v>1560</v>
      </c>
      <c r="Q35" s="5">
        <v>1560</v>
      </c>
      <c r="R35" s="5">
        <f>SUM(N35:Q35)</f>
        <v>6240</v>
      </c>
    </row>
    <row r="36" customFormat="1" s="26">
      <c r="C36" s="24" t="s">
        <v>23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5">
        <f>SUM(N36:Q36)</f>
        <v>0</v>
      </c>
    </row>
    <row r="37">
      <c r="C37" s="3" t="s">
        <v>24</v>
      </c>
      <c r="D37" s="5"/>
      <c r="E37" s="5"/>
      <c r="F37" s="5"/>
      <c r="G37" s="5"/>
      <c r="H37" s="5">
        <v>10800</v>
      </c>
      <c r="I37" s="5">
        <f>0.08*I38</f>
        <v>10880</v>
      </c>
      <c r="J37" s="5">
        <f>0.08*J38</f>
        <v>10880</v>
      </c>
      <c r="K37" s="5">
        <f>0.08*K38</f>
        <v>10880</v>
      </c>
      <c r="L37" s="5">
        <f>0.08*L38</f>
        <v>11040</v>
      </c>
      <c r="M37" s="5">
        <f>0.08*M38</f>
        <v>11040</v>
      </c>
      <c r="N37" s="5">
        <f>0.08*N38</f>
        <v>10880</v>
      </c>
      <c r="O37" s="5">
        <f>0.08*O38</f>
        <v>10560</v>
      </c>
      <c r="P37" s="5">
        <f>0.08*P38</f>
        <v>10400</v>
      </c>
      <c r="Q37" s="5">
        <f>0.08*Q38</f>
        <v>10240</v>
      </c>
      <c r="R37" s="5">
        <f>SUM(N37:Q37)</f>
        <v>42080</v>
      </c>
    </row>
    <row r="38">
      <c r="C38" s="3" t="s">
        <v>25</v>
      </c>
      <c r="D38" s="5"/>
      <c r="E38" s="5"/>
      <c r="F38" s="5"/>
      <c r="G38" s="5"/>
      <c r="H38" s="5">
        <v>132000</v>
      </c>
      <c r="I38" s="5">
        <v>136000</v>
      </c>
      <c r="J38" s="5">
        <v>136000</v>
      </c>
      <c r="K38" s="5">
        <v>136000</v>
      </c>
      <c r="L38" s="5">
        <v>138000</v>
      </c>
      <c r="M38" s="5">
        <v>138000</v>
      </c>
      <c r="N38" s="5">
        <v>136000</v>
      </c>
      <c r="O38" s="5">
        <v>132000</v>
      </c>
      <c r="P38" s="5">
        <v>130000</v>
      </c>
      <c r="Q38" s="5">
        <v>128000</v>
      </c>
      <c r="R38" s="5">
        <f>SUM(N38:Q38)</f>
        <v>526000</v>
      </c>
    </row>
    <row r="39" customFormat="1" s="26">
      <c r="C39" s="24" t="s">
        <v>26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5">
        <f>SUM(N39:Q39)</f>
        <v>0</v>
      </c>
    </row>
    <row r="40">
      <c r="C40" s="3" t="s">
        <v>45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>SUM(N40:Q40)</f>
        <v>0</v>
      </c>
    </row>
    <row r="41">
      <c r="C41" s="3" t="s">
        <v>27</v>
      </c>
      <c r="D41" s="5"/>
      <c r="E41" s="10"/>
      <c r="F41" s="5"/>
      <c r="G41" s="5"/>
      <c r="H41" s="5">
        <v>2500</v>
      </c>
      <c r="I41" s="5">
        <v>2500</v>
      </c>
      <c r="J41" s="5">
        <v>2500</v>
      </c>
      <c r="K41" s="5">
        <v>2500</v>
      </c>
      <c r="L41" s="5">
        <v>2500</v>
      </c>
      <c r="M41" s="5">
        <v>2500</v>
      </c>
      <c r="N41" s="5">
        <v>2500</v>
      </c>
      <c r="O41" s="5">
        <v>2500</v>
      </c>
      <c r="P41" s="5">
        <v>2500</v>
      </c>
      <c r="Q41" s="5">
        <v>2500</v>
      </c>
      <c r="R41" s="5">
        <f>SUM(N41:Q41)</f>
        <v>10000</v>
      </c>
    </row>
    <row r="42">
      <c r="C42" s="3" t="s">
        <v>28</v>
      </c>
      <c r="D42" s="5"/>
      <c r="E42" s="1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"/>
    </row>
    <row r="43">
      <c r="C43" s="3" t="s">
        <v>29</v>
      </c>
      <c r="D43" s="8">
        <f>SUM(D13:D42)</f>
        <v>0</v>
      </c>
      <c r="E43" s="10"/>
      <c r="F43" s="8">
        <f>SUM(F13:F42)</f>
        <v>0</v>
      </c>
      <c r="G43" s="8">
        <f>SUM(G13:G42)</f>
        <v>0</v>
      </c>
      <c r="H43" s="8">
        <f>SUM(H13:H42)</f>
        <v>213932</v>
      </c>
      <c r="I43" s="8">
        <f>SUM(I13:I42)</f>
        <v>235644.5</v>
      </c>
      <c r="J43" s="8">
        <f>SUM(J13:J42)</f>
        <v>235644.5</v>
      </c>
      <c r="K43" s="8">
        <f>SUM(K13:K42)</f>
        <v>235644.5</v>
      </c>
      <c r="L43" s="8">
        <f>SUM(L13:L42)</f>
        <v>240437</v>
      </c>
      <c r="M43" s="8">
        <f>SUM(M13:M42)</f>
        <v>240437</v>
      </c>
      <c r="N43" s="8">
        <f>SUM(N13:N42)</f>
        <v>235644.5</v>
      </c>
      <c r="O43" s="8">
        <f>SUM(O13:O42)</f>
        <v>230008.25</v>
      </c>
      <c r="P43" s="8">
        <f>SUM(P13:P42)</f>
        <v>222848.25</v>
      </c>
      <c r="Q43" s="8">
        <f>SUM(Q13:Q42)</f>
        <v>220688.25</v>
      </c>
      <c r="R43" s="9">
        <f>SUM(N43:Q43)</f>
        <v>909189.25</v>
      </c>
    </row>
    <row r="44">
      <c r="C44" s="30" t="s">
        <v>47</v>
      </c>
      <c r="D44" s="5"/>
      <c r="E44" s="11"/>
      <c r="F44" s="5">
        <f>F11-F43</f>
        <v>0</v>
      </c>
      <c r="G44" s="5">
        <f>G11-G43</f>
        <v>0</v>
      </c>
      <c r="H44" s="5">
        <f>H11-H43</f>
        <v>4828</v>
      </c>
      <c r="I44" s="5">
        <f>I11-I43</f>
        <v>13085.5</v>
      </c>
      <c r="J44" s="5">
        <f>J11-J43</f>
        <v>13085.5</v>
      </c>
      <c r="K44" s="5">
        <f>K11-K43</f>
        <v>13085.5</v>
      </c>
      <c r="L44" s="5">
        <f>L11-L43</f>
        <v>38263</v>
      </c>
      <c r="M44" s="5">
        <f>M11-M43</f>
        <v>38263</v>
      </c>
      <c r="N44" s="5">
        <f>N11-N43</f>
        <v>13085.5</v>
      </c>
      <c r="O44" s="5">
        <f>O11-O43</f>
        <v>3736.75</v>
      </c>
      <c r="P44" s="5">
        <f>P11-P43</f>
        <v>10896.75</v>
      </c>
      <c r="Q44" s="5">
        <f>Q11-Q43</f>
        <v>13056.75</v>
      </c>
      <c r="R44" s="6">
        <f>R11-R43</f>
        <v>40775.75</v>
      </c>
    </row>
    <row r="45">
      <c r="C45" s="3"/>
      <c r="D45" s="5"/>
      <c r="E45" s="1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6"/>
    </row>
    <row r="46">
      <c r="C46" s="3" t="s">
        <v>33</v>
      </c>
      <c r="D46" s="5"/>
      <c r="E46" s="10"/>
      <c r="F46" s="5"/>
      <c r="G46" s="5"/>
      <c r="H46" s="5">
        <v>2268</v>
      </c>
      <c r="I46" s="5">
        <v>2268</v>
      </c>
      <c r="J46" s="5">
        <v>2268</v>
      </c>
      <c r="K46" s="5">
        <v>2268</v>
      </c>
      <c r="L46" s="5">
        <v>2268</v>
      </c>
      <c r="M46" s="5">
        <v>2268</v>
      </c>
      <c r="N46" s="5">
        <v>2268</v>
      </c>
      <c r="O46" s="5">
        <v>2268</v>
      </c>
      <c r="P46" s="5">
        <v>2268</v>
      </c>
      <c r="Q46" s="5">
        <v>2268</v>
      </c>
      <c r="R46" s="6">
        <f>SUM(N46:Q46)</f>
        <v>9072</v>
      </c>
    </row>
    <row r="47">
      <c r="C47" t="s">
        <v>52</v>
      </c>
      <c r="D47" s="31"/>
      <c r="E47" s="32"/>
      <c r="F47" s="31"/>
      <c r="G47" s="31"/>
      <c r="H47" s="31">
        <v>820</v>
      </c>
      <c r="I47" s="31">
        <v>820</v>
      </c>
      <c r="J47" s="31">
        <v>820</v>
      </c>
      <c r="K47" s="31">
        <v>820</v>
      </c>
      <c r="L47" s="31">
        <v>820</v>
      </c>
      <c r="M47" s="31">
        <v>820</v>
      </c>
      <c r="N47" s="31">
        <v>820</v>
      </c>
      <c r="O47" s="31">
        <v>820</v>
      </c>
      <c r="P47" s="31">
        <v>820</v>
      </c>
      <c r="Q47" s="31">
        <v>820</v>
      </c>
      <c r="R47" s="6">
        <f>SUM(N47:Q47)</f>
        <v>3280</v>
      </c>
    </row>
    <row r="48">
      <c r="C48" t="s">
        <v>53</v>
      </c>
      <c r="D48" s="31"/>
      <c r="E48" s="32"/>
      <c r="F48" s="31"/>
      <c r="G48" s="31"/>
      <c r="H48" s="31">
        <v>580</v>
      </c>
      <c r="I48" s="31">
        <v>580</v>
      </c>
      <c r="J48" s="31">
        <v>580</v>
      </c>
      <c r="K48" s="31">
        <v>580</v>
      </c>
      <c r="L48" s="31">
        <v>580</v>
      </c>
      <c r="M48" s="31">
        <v>580</v>
      </c>
      <c r="N48" s="31">
        <v>580</v>
      </c>
      <c r="O48" s="31">
        <v>580</v>
      </c>
      <c r="P48" s="31">
        <v>580</v>
      </c>
      <c r="Q48" s="31">
        <v>580</v>
      </c>
      <c r="R48" s="6">
        <f>SUM(N48:Q48)</f>
        <v>2320</v>
      </c>
    </row>
    <row r="49">
      <c r="C49" t="s">
        <v>54</v>
      </c>
      <c r="D49" s="31"/>
      <c r="E49" s="32"/>
      <c r="F49" s="31"/>
      <c r="G49" s="31"/>
      <c r="H49" s="31">
        <v>600</v>
      </c>
      <c r="I49" s="31">
        <v>600</v>
      </c>
      <c r="J49" s="31">
        <v>600</v>
      </c>
      <c r="K49" s="31">
        <v>600</v>
      </c>
      <c r="L49" s="31">
        <v>600</v>
      </c>
      <c r="M49" s="31">
        <v>600</v>
      </c>
      <c r="N49" s="31">
        <v>600</v>
      </c>
      <c r="O49" s="31">
        <v>600</v>
      </c>
      <c r="P49" s="31">
        <v>600</v>
      </c>
      <c r="Q49" s="31">
        <v>600</v>
      </c>
      <c r="R49" s="6">
        <f>SUM(N49:Q49)</f>
        <v>2400</v>
      </c>
    </row>
    <row r="50">
      <c r="C50" t="s">
        <v>55</v>
      </c>
      <c r="D50" s="31"/>
      <c r="E50" s="32"/>
      <c r="F50" s="31"/>
      <c r="G50" s="31"/>
      <c r="H50" s="31">
        <v>2400</v>
      </c>
      <c r="I50" s="31">
        <v>2400</v>
      </c>
      <c r="J50" s="31">
        <v>2400</v>
      </c>
      <c r="K50" s="31">
        <v>2400</v>
      </c>
      <c r="L50" s="31">
        <v>2400</v>
      </c>
      <c r="M50" s="31">
        <v>2400</v>
      </c>
      <c r="N50" s="31">
        <v>2400</v>
      </c>
      <c r="O50" s="31">
        <v>2400</v>
      </c>
      <c r="P50" s="31">
        <v>2400</v>
      </c>
      <c r="Q50" s="31">
        <v>2400</v>
      </c>
      <c r="R50" s="6">
        <f>SUM(N50:Q50)</f>
        <v>9600</v>
      </c>
    </row>
    <row r="51">
      <c r="C51" t="s">
        <v>56</v>
      </c>
      <c r="D51" s="31"/>
      <c r="E51" s="32"/>
      <c r="F51" s="31"/>
      <c r="G51" s="31"/>
      <c r="H51" s="31">
        <v>1500</v>
      </c>
      <c r="I51" s="31">
        <v>1500</v>
      </c>
      <c r="J51" s="31">
        <v>1500</v>
      </c>
      <c r="K51" s="31">
        <v>1500</v>
      </c>
      <c r="L51" s="31">
        <v>1500</v>
      </c>
      <c r="M51" s="31">
        <v>1500</v>
      </c>
      <c r="N51" s="31">
        <v>1500</v>
      </c>
      <c r="O51" s="31">
        <v>1500</v>
      </c>
      <c r="P51" s="31">
        <v>1500</v>
      </c>
      <c r="Q51" s="31">
        <v>1500</v>
      </c>
      <c r="R51" s="6">
        <f>SUM(N51:Q51)</f>
        <v>6000</v>
      </c>
    </row>
    <row r="52">
      <c r="C52" t="s">
        <v>57</v>
      </c>
      <c r="H52" s="33">
        <v>1809</v>
      </c>
      <c r="I52" s="33">
        <v>1809</v>
      </c>
      <c r="J52" s="33">
        <v>1809</v>
      </c>
      <c r="K52" s="33">
        <v>1809</v>
      </c>
      <c r="L52" s="33">
        <v>1809</v>
      </c>
      <c r="M52" s="33">
        <v>1809</v>
      </c>
      <c r="N52" s="33">
        <v>1809</v>
      </c>
      <c r="O52" s="33">
        <v>1809</v>
      </c>
      <c r="P52" s="33">
        <v>1809</v>
      </c>
      <c r="Q52" s="33">
        <v>1809</v>
      </c>
      <c r="R52" s="6">
        <f>SUM(N52:Q52)</f>
        <v>7236</v>
      </c>
    </row>
    <row r="53">
      <c r="C53" t="s">
        <v>58</v>
      </c>
      <c r="H53" s="35">
        <v>2100</v>
      </c>
      <c r="I53" s="35">
        <v>2100</v>
      </c>
      <c r="J53" s="35">
        <v>2100</v>
      </c>
      <c r="K53" s="35">
        <v>2100</v>
      </c>
      <c r="L53" s="35">
        <v>2100</v>
      </c>
      <c r="M53" s="35">
        <v>2100</v>
      </c>
      <c r="N53" s="35">
        <v>2100</v>
      </c>
      <c r="O53" s="35">
        <v>2100</v>
      </c>
      <c r="P53" s="35">
        <v>2100</v>
      </c>
      <c r="Q53" s="35">
        <v>2100</v>
      </c>
      <c r="R53" s="6">
        <f>SUM(N53:Q53)</f>
        <v>8400</v>
      </c>
    </row>
    <row r="54">
      <c r="C54" t="s">
        <v>59</v>
      </c>
      <c r="H54" s="33">
        <f>SUM(H46:H53)</f>
        <v>12077</v>
      </c>
      <c r="I54" s="33">
        <f>SUM(I46:I53)</f>
        <v>12077</v>
      </c>
      <c r="J54" s="33">
        <f>SUM(J46:J53)</f>
        <v>12077</v>
      </c>
      <c r="K54" s="33">
        <f>SUM(K46:K53)</f>
        <v>12077</v>
      </c>
      <c r="L54" s="33">
        <f>SUM(L46:L53)</f>
        <v>12077</v>
      </c>
      <c r="M54" s="33">
        <f>SUM(M46:M53)</f>
        <v>12077</v>
      </c>
      <c r="N54" s="33">
        <f>SUM(N46:N53)</f>
        <v>12077</v>
      </c>
      <c r="O54" s="33">
        <f>SUM(O46:O53)</f>
        <v>12077</v>
      </c>
      <c r="P54" s="33">
        <f>SUM(P46:P53)</f>
        <v>12077</v>
      </c>
      <c r="Q54" s="33">
        <f>SUM(Q46:Q53)</f>
        <v>12077</v>
      </c>
      <c r="R54" s="34">
        <f>SUM(N54:Q54)</f>
        <v>48308</v>
      </c>
    </row>
    <row r="55"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18"/>
    </row>
    <row r="56">
      <c r="C56" t="s">
        <v>60</v>
      </c>
      <c r="H56" s="33">
        <f>H44-H54</f>
        <v>-7249</v>
      </c>
      <c r="I56" s="33">
        <f>I44-I54</f>
        <v>1008.5</v>
      </c>
      <c r="J56" s="33">
        <f>J44-J54</f>
        <v>1008.5</v>
      </c>
      <c r="K56" s="33">
        <f>K44-K54</f>
        <v>1008.5</v>
      </c>
      <c r="L56" s="33">
        <f>L44-L54</f>
        <v>26186</v>
      </c>
      <c r="M56" s="33">
        <f>M44-M54</f>
        <v>26186</v>
      </c>
      <c r="N56" s="33">
        <f>N44-N54</f>
        <v>1008.5</v>
      </c>
      <c r="O56" s="33">
        <f>O44-O54</f>
        <v>-8340.25</v>
      </c>
      <c r="P56" s="33">
        <f>P44-P54</f>
        <v>-1180.25</v>
      </c>
      <c r="Q56" s="33">
        <f>Q44-Q54</f>
        <v>979.75</v>
      </c>
      <c r="R56" s="43">
        <f>R44-R54</f>
        <v>-7532.25</v>
      </c>
    </row>
    <row r="57">
      <c r="C57" t="s">
        <v>77</v>
      </c>
      <c r="D57" s="41">
        <v>80000</v>
      </c>
      <c r="E57" s="41"/>
      <c r="K57" s="41"/>
      <c r="L57" s="41"/>
      <c r="M57" s="41"/>
    </row>
    <row r="58">
      <c r="C58" s="3" t="s">
        <v>35</v>
      </c>
      <c r="D58" s="41">
        <v>100000</v>
      </c>
      <c r="E58" s="36">
        <v>40000</v>
      </c>
      <c r="F58" s="3"/>
      <c r="G58" s="3"/>
      <c r="H58" s="3"/>
      <c r="I58" s="3"/>
      <c r="J58" s="3"/>
      <c r="K58" s="36"/>
      <c r="L58" s="36">
        <v>20000</v>
      </c>
      <c r="M58" s="36">
        <v>20000</v>
      </c>
      <c r="N58" s="3">
        <v>0</v>
      </c>
      <c r="O58" s="3"/>
      <c r="P58" s="3"/>
      <c r="Q58" s="3"/>
      <c r="R58" s="36">
        <v>40000</v>
      </c>
    </row>
    <row r="59">
      <c r="C59" s="3" t="s">
        <v>36</v>
      </c>
      <c r="D59" s="41">
        <v>1200000</v>
      </c>
      <c r="E59" s="36">
        <v>20000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6">
        <v>20000</v>
      </c>
      <c r="R59" s="36">
        <v>20000</v>
      </c>
    </row>
    <row r="60">
      <c r="C60" s="3" t="s">
        <v>37</v>
      </c>
      <c r="D60" s="3"/>
      <c r="E60" s="3"/>
      <c r="F60" s="3"/>
      <c r="G60" s="3"/>
      <c r="H60" s="3"/>
      <c r="I60" s="6"/>
      <c r="J60" s="3"/>
      <c r="K60" s="3"/>
      <c r="L60" s="3"/>
      <c r="M60" s="3"/>
      <c r="N60" s="3"/>
      <c r="O60" s="6"/>
      <c r="P60" s="3"/>
      <c r="Q60" s="3"/>
      <c r="R60" s="6">
        <f>I60+O60</f>
        <v>0</v>
      </c>
    </row>
    <row r="61">
      <c r="C61" t="s">
        <v>73</v>
      </c>
    </row>
    <row r="64">
      <c r="F64" s="18"/>
      <c r="J64" s="18"/>
      <c r="O64" s="18"/>
    </row>
  </sheetData>
  <pageMargins left="0.2" right="0.2" top="0.75" bottom="0.75" header="0.3" footer="0.3"/>
  <pageSetup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5"/>
  <sheetViews>
    <sheetView topLeftCell="C1" workbookViewId="0">
      <pane ySplit="1" topLeftCell="A2" activePane="bottomLeft" state="frozen"/>
      <selection pane="bottomLeft" activeCell="I60" sqref="I60"/>
    </sheetView>
  </sheetViews>
  <sheetFormatPr defaultRowHeight="15.75" x14ac:dyDescent="0.25" outlineLevelRow="0" outlineLevelCol="0"/>
  <cols>
    <col min="1" max="1" width="29.625" hidden="1" customWidth="1"/>
    <col min="2" max="2" width="12.125" hidden="1" customWidth="1"/>
    <col min="3" max="3" width="31.875" customWidth="1"/>
    <col min="4" max="4" width="11.875" customWidth="1"/>
    <col min="5" max="5" width="12.25" customWidth="1"/>
    <col min="6" max="6" width="12.125" bestFit="1" customWidth="1"/>
    <col min="7" max="7" width="12.125" bestFit="1" customWidth="1"/>
    <col min="8" max="8" width="12.125" bestFit="1" customWidth="1"/>
    <col min="9" max="9" width="12.125" bestFit="1" customWidth="1"/>
    <col min="10" max="10" width="12.125" bestFit="1" customWidth="1"/>
    <col min="11" max="11" width="12.125" bestFit="1" customWidth="1"/>
    <col min="12" max="12" width="12.125" bestFit="1" customWidth="1"/>
    <col min="13" max="13" width="12.125" bestFit="1" customWidth="1"/>
    <col min="14" max="14" width="12.125" bestFit="1" customWidth="1"/>
    <col min="15" max="15" width="12.375" customWidth="1"/>
    <col min="16" max="16" width="15.875" customWidth="1"/>
  </cols>
  <sheetData>
    <row r="1">
      <c r="B1" s="3"/>
      <c r="C1" s="3" t="s">
        <v>38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B2" s="4" t="s">
        <v>34</v>
      </c>
      <c r="C2" s="3" t="s">
        <v>0</v>
      </c>
      <c r="D2" s="4">
        <v>46051</v>
      </c>
      <c r="E2" s="4">
        <v>46081</v>
      </c>
      <c r="F2" s="4">
        <v>46110</v>
      </c>
      <c r="G2" s="4">
        <v>46141</v>
      </c>
      <c r="H2" s="4">
        <v>46171</v>
      </c>
      <c r="I2" s="4">
        <v>46202</v>
      </c>
      <c r="J2" s="4">
        <v>46232</v>
      </c>
      <c r="K2" s="4">
        <v>46263</v>
      </c>
      <c r="L2" s="4">
        <v>46294</v>
      </c>
      <c r="M2" s="4">
        <v>46324</v>
      </c>
      <c r="N2" s="4">
        <v>46355</v>
      </c>
      <c r="O2" s="4">
        <v>46385</v>
      </c>
      <c r="P2" s="3"/>
    </row>
    <row r="3"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32</v>
      </c>
      <c r="P3" s="3"/>
    </row>
    <row r="4">
      <c r="B4" s="3"/>
      <c r="C4" s="3" t="s">
        <v>39</v>
      </c>
      <c r="D4" s="3">
        <v>450</v>
      </c>
      <c r="E4" s="3">
        <v>450</v>
      </c>
      <c r="F4" s="3">
        <v>450</v>
      </c>
      <c r="G4" s="3">
        <v>475</v>
      </c>
      <c r="H4" s="3">
        <v>500</v>
      </c>
      <c r="I4" s="3">
        <v>500</v>
      </c>
      <c r="J4" s="3">
        <v>500</v>
      </c>
      <c r="K4" s="3">
        <v>550</v>
      </c>
      <c r="L4" s="3">
        <v>550</v>
      </c>
      <c r="M4" s="3">
        <v>500</v>
      </c>
      <c r="N4" s="3">
        <v>475</v>
      </c>
      <c r="O4" s="3">
        <v>450</v>
      </c>
      <c r="P4" s="3" t="s">
        <v>31</v>
      </c>
    </row>
    <row r="5">
      <c r="B5" s="5"/>
      <c r="C5" s="3" t="s">
        <v>40</v>
      </c>
      <c r="D5" s="5">
        <f>750*D4*1.08</f>
        <v>364500</v>
      </c>
      <c r="E5" s="5">
        <f>760*E4*1.08</f>
        <v>369360</v>
      </c>
      <c r="F5" s="5">
        <f>760*F4*1.08</f>
        <v>369360</v>
      </c>
      <c r="G5" s="5">
        <f>760*G4*1.08</f>
        <v>389880</v>
      </c>
      <c r="H5" s="5">
        <f>760*H4*1.08</f>
        <v>410400</v>
      </c>
      <c r="I5" s="5">
        <f>760*I4*1.08</f>
        <v>410400</v>
      </c>
      <c r="J5" s="5">
        <f>J4*765*1.08</f>
        <v>413100</v>
      </c>
      <c r="K5" s="5">
        <f>K4*765*1.08</f>
        <v>454410.00000000006</v>
      </c>
      <c r="L5" s="5">
        <f>L4*765*1.08</f>
        <v>454410.00000000006</v>
      </c>
      <c r="M5" s="5">
        <f>M4*765*1.08</f>
        <v>413100</v>
      </c>
      <c r="N5" s="5">
        <f>N4*765*1.08</f>
        <v>392445</v>
      </c>
      <c r="O5" s="5">
        <f>O4*765*1.08</f>
        <v>371790</v>
      </c>
      <c r="P5" s="6">
        <f>SUM(D5:O5)</f>
        <v>4813155</v>
      </c>
    </row>
    <row r="6">
      <c r="B6" s="3"/>
      <c r="C6" s="3" t="s">
        <v>49</v>
      </c>
      <c r="D6" s="6">
        <f>D5/D4</f>
        <v>810</v>
      </c>
      <c r="E6" s="6">
        <f>E5/E4</f>
        <v>820.8</v>
      </c>
      <c r="F6" s="6">
        <f>F5/F4</f>
        <v>820.8</v>
      </c>
      <c r="G6" s="6">
        <f>G5/G4</f>
        <v>820.8</v>
      </c>
      <c r="H6" s="6">
        <f>H5/H4</f>
        <v>820.8</v>
      </c>
      <c r="I6" s="6">
        <f>I5/I4</f>
        <v>820.8</v>
      </c>
      <c r="J6" s="6">
        <f>J5/J4</f>
        <v>826.2</v>
      </c>
      <c r="K6" s="6">
        <f>K5/K4</f>
        <v>826.2000000000002</v>
      </c>
      <c r="L6" s="6">
        <f>L5/L4</f>
        <v>826.2000000000002</v>
      </c>
      <c r="M6" s="6">
        <f>M5/M4</f>
        <v>826.2</v>
      </c>
      <c r="N6" s="6">
        <f>N5/N4</f>
        <v>826.2</v>
      </c>
      <c r="O6" s="6">
        <f>O5/O4</f>
        <v>826.2</v>
      </c>
      <c r="P6" s="3"/>
    </row>
    <row r="7">
      <c r="B7" s="3"/>
      <c r="C7" s="17" t="s">
        <v>43</v>
      </c>
      <c r="D7" s="3">
        <v>20000</v>
      </c>
      <c r="E7" s="3">
        <v>20000</v>
      </c>
      <c r="F7" s="3">
        <v>21000</v>
      </c>
      <c r="G7" s="3">
        <v>21000</v>
      </c>
      <c r="H7" s="3">
        <v>21000</v>
      </c>
      <c r="I7" s="3">
        <v>21000</v>
      </c>
      <c r="J7" s="3">
        <v>21000</v>
      </c>
      <c r="K7" s="3">
        <v>21000</v>
      </c>
      <c r="L7" s="3">
        <v>21000</v>
      </c>
      <c r="M7" s="3">
        <v>21000</v>
      </c>
      <c r="N7" s="3">
        <v>21000</v>
      </c>
      <c r="O7" s="3">
        <v>21000</v>
      </c>
      <c r="P7" s="5">
        <f>SUM(D7:O7)</f>
        <v>250000</v>
      </c>
    </row>
    <row r="8">
      <c r="B8" s="9" t="e">
        <f>B5+B6+#REF!-B7</f>
        <v>#REF!</v>
      </c>
      <c r="C8" s="7" t="s">
        <v>3</v>
      </c>
      <c r="D8" s="9">
        <f>D5-D7</f>
        <v>344500</v>
      </c>
      <c r="E8" s="9">
        <f>E5-E7</f>
        <v>349360</v>
      </c>
      <c r="F8" s="9">
        <f>F5-F7</f>
        <v>348360</v>
      </c>
      <c r="G8" s="9">
        <f>G5-G7</f>
        <v>368880</v>
      </c>
      <c r="H8" s="9">
        <f>H5-H7</f>
        <v>389400</v>
      </c>
      <c r="I8" s="9">
        <f>I5-I7</f>
        <v>389400</v>
      </c>
      <c r="J8" s="9">
        <f>J5-J7</f>
        <v>392100</v>
      </c>
      <c r="K8" s="9">
        <f>K5-K7</f>
        <v>433410.00000000006</v>
      </c>
      <c r="L8" s="9">
        <f>L5-L7</f>
        <v>433410.00000000006</v>
      </c>
      <c r="M8" s="9">
        <f>M5-M7</f>
        <v>392100</v>
      </c>
      <c r="N8" s="9">
        <f>N5-N7</f>
        <v>371445</v>
      </c>
      <c r="O8" s="9">
        <f>O5-O7</f>
        <v>350790</v>
      </c>
      <c r="P8" s="9">
        <f>SUM(D8:O8)</f>
        <v>4563155</v>
      </c>
      <c r="Q8" s="18"/>
    </row>
    <row r="9">
      <c r="B9" s="6">
        <f>B5*25%</f>
        <v>0</v>
      </c>
      <c r="C9" s="22" t="s">
        <v>48</v>
      </c>
      <c r="D9" s="6">
        <f>D5*26%</f>
        <v>94770</v>
      </c>
      <c r="E9" s="6">
        <f>E5*26%</f>
        <v>96033.6</v>
      </c>
      <c r="F9" s="6">
        <f>F5*26%</f>
        <v>96033.6</v>
      </c>
      <c r="G9" s="6">
        <f>G5*26%</f>
        <v>101368.8</v>
      </c>
      <c r="H9" s="6">
        <f>H5*26%</f>
        <v>106704</v>
      </c>
      <c r="I9" s="6">
        <f>I5*26%</f>
        <v>106704</v>
      </c>
      <c r="J9" s="6">
        <f>J5*26%</f>
        <v>107406</v>
      </c>
      <c r="K9" s="6">
        <f>K5*26%</f>
        <v>118146.60000000002</v>
      </c>
      <c r="L9" s="6">
        <f>L5*26%</f>
        <v>118146.60000000002</v>
      </c>
      <c r="M9" s="6">
        <f>M5*26%</f>
        <v>107406</v>
      </c>
      <c r="N9" s="6">
        <f>N5*26%</f>
        <v>102035.7</v>
      </c>
      <c r="O9" s="6">
        <f>O5*26%</f>
        <v>96665.40000000001</v>
      </c>
      <c r="P9" s="6">
        <f>SUM(D9:O9)</f>
        <v>1251420.2999999998</v>
      </c>
    </row>
    <row r="10">
      <c r="B10" s="8">
        <f>B9</f>
        <v>0</v>
      </c>
      <c r="C10" s="7" t="s">
        <v>4</v>
      </c>
      <c r="D10" s="8">
        <f>D9</f>
        <v>94770</v>
      </c>
      <c r="E10" s="8">
        <f>E9</f>
        <v>96033.6</v>
      </c>
      <c r="F10" s="8">
        <f>F9</f>
        <v>96033.6</v>
      </c>
      <c r="G10" s="8">
        <f>G9</f>
        <v>101368.8</v>
      </c>
      <c r="H10" s="8">
        <f>H9</f>
        <v>106704</v>
      </c>
      <c r="I10" s="8">
        <f>I9</f>
        <v>106704</v>
      </c>
      <c r="J10" s="8">
        <f>J9</f>
        <v>107406</v>
      </c>
      <c r="K10" s="8">
        <f>K9</f>
        <v>118146.60000000002</v>
      </c>
      <c r="L10" s="8">
        <f>L9</f>
        <v>118146.60000000002</v>
      </c>
      <c r="M10" s="8">
        <f>M9</f>
        <v>107406</v>
      </c>
      <c r="N10" s="8">
        <f>N9</f>
        <v>102035.7</v>
      </c>
      <c r="O10" s="8">
        <f>O9</f>
        <v>96665.40000000001</v>
      </c>
      <c r="P10" s="8">
        <f>P9</f>
        <v>1251420.2999999998</v>
      </c>
    </row>
    <row r="11">
      <c r="B11" s="8" t="e">
        <f>B8-B10</f>
        <v>#REF!</v>
      </c>
      <c r="C11" s="7" t="s">
        <v>46</v>
      </c>
      <c r="D11" s="8">
        <f>D8-D10</f>
        <v>249730</v>
      </c>
      <c r="E11" s="8">
        <f>E8-E10</f>
        <v>253326.4</v>
      </c>
      <c r="F11" s="8">
        <f>F8-F10</f>
        <v>252326.4</v>
      </c>
      <c r="G11" s="8">
        <f>G8-G10</f>
        <v>267511.2</v>
      </c>
      <c r="H11" s="8">
        <f>H8-H10</f>
        <v>282696</v>
      </c>
      <c r="I11" s="8">
        <f>I8-I10</f>
        <v>282696</v>
      </c>
      <c r="J11" s="8">
        <f>J8-J10</f>
        <v>284694</v>
      </c>
      <c r="K11" s="8">
        <f>K8-K10</f>
        <v>315263.4</v>
      </c>
      <c r="L11" s="8">
        <f>L8-L10</f>
        <v>315263.4</v>
      </c>
      <c r="M11" s="8">
        <f>M8-M10</f>
        <v>284694</v>
      </c>
      <c r="N11" s="8">
        <f>N8-N10</f>
        <v>269409.3</v>
      </c>
      <c r="O11" s="8">
        <f>O8-O10</f>
        <v>254124.59999999998</v>
      </c>
      <c r="P11" s="8">
        <f>SUM(D11:O11)</f>
        <v>3311734.6999999997</v>
      </c>
    </row>
    <row r="12">
      <c r="B12" s="3"/>
      <c r="C12" s="28" t="s">
        <v>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B13" s="5"/>
      <c r="C13" s="3" t="s">
        <v>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>
      <c r="B14" s="5"/>
      <c r="C14" s="23" t="s">
        <v>7</v>
      </c>
      <c r="D14" s="5">
        <v>7000</v>
      </c>
      <c r="E14" s="5">
        <v>7000</v>
      </c>
      <c r="F14" s="5">
        <v>7000</v>
      </c>
      <c r="G14" s="5">
        <v>7000</v>
      </c>
      <c r="H14" s="5">
        <v>7000</v>
      </c>
      <c r="I14" s="5">
        <v>7000</v>
      </c>
      <c r="J14" s="5">
        <v>7000</v>
      </c>
      <c r="K14" s="5">
        <v>7000</v>
      </c>
      <c r="L14" s="5">
        <v>7000</v>
      </c>
      <c r="M14" s="5">
        <v>7000</v>
      </c>
      <c r="N14" s="5">
        <v>7000</v>
      </c>
      <c r="O14" s="5">
        <v>7000</v>
      </c>
      <c r="P14" s="5">
        <f>SUM(D14:O14)</f>
        <v>84000</v>
      </c>
    </row>
    <row r="15">
      <c r="B15" s="5"/>
      <c r="C15" s="23" t="s">
        <v>41</v>
      </c>
      <c r="D15" s="5">
        <v>2500</v>
      </c>
      <c r="E15" s="5">
        <v>2500</v>
      </c>
      <c r="F15" s="5">
        <v>2500</v>
      </c>
      <c r="G15" s="5">
        <v>2500</v>
      </c>
      <c r="H15" s="5">
        <v>2500</v>
      </c>
      <c r="I15" s="5">
        <v>2500</v>
      </c>
      <c r="J15" s="5">
        <v>2500</v>
      </c>
      <c r="K15" s="5">
        <v>2500</v>
      </c>
      <c r="L15" s="5">
        <v>2500</v>
      </c>
      <c r="M15" s="5">
        <v>2500</v>
      </c>
      <c r="N15" s="5">
        <v>2500</v>
      </c>
      <c r="O15" s="5">
        <v>2500</v>
      </c>
      <c r="P15" s="5">
        <f>SUM(D15:O15)</f>
        <v>30000</v>
      </c>
    </row>
    <row r="16">
      <c r="B16" s="5"/>
      <c r="C16" s="23" t="s">
        <v>42</v>
      </c>
      <c r="D16" s="5">
        <v>560</v>
      </c>
      <c r="E16" s="5">
        <v>560</v>
      </c>
      <c r="F16" s="5">
        <v>560</v>
      </c>
      <c r="G16" s="5">
        <v>560</v>
      </c>
      <c r="H16" s="5">
        <v>560</v>
      </c>
      <c r="I16" s="5">
        <v>560</v>
      </c>
      <c r="J16" s="5">
        <v>560</v>
      </c>
      <c r="K16" s="5">
        <v>560</v>
      </c>
      <c r="L16" s="5">
        <v>560</v>
      </c>
      <c r="M16" s="5">
        <v>560</v>
      </c>
      <c r="N16" s="5">
        <v>560</v>
      </c>
      <c r="O16" s="5">
        <v>560</v>
      </c>
      <c r="P16" s="5">
        <f>SUM(D16:O16)</f>
        <v>6720</v>
      </c>
    </row>
    <row r="17">
      <c r="B17" s="25"/>
      <c r="C17" s="24" t="s">
        <v>8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5"/>
    </row>
    <row r="18">
      <c r="B18" s="5"/>
      <c r="C18" s="3" t="s">
        <v>9</v>
      </c>
      <c r="D18" s="5">
        <v>7200</v>
      </c>
      <c r="E18" s="5">
        <v>7200</v>
      </c>
      <c r="F18" s="5">
        <v>7200</v>
      </c>
      <c r="G18" s="5">
        <v>7200</v>
      </c>
      <c r="H18" s="5">
        <v>7200</v>
      </c>
      <c r="I18" s="5">
        <v>7200</v>
      </c>
      <c r="J18" s="5">
        <v>7200</v>
      </c>
      <c r="K18" s="5">
        <v>7200</v>
      </c>
      <c r="L18" s="5">
        <v>7200</v>
      </c>
      <c r="M18" s="5">
        <v>7200</v>
      </c>
      <c r="N18" s="5">
        <v>7200</v>
      </c>
      <c r="O18" s="5">
        <v>7200</v>
      </c>
      <c r="P18" s="5">
        <f>SUM(D18:O18)</f>
        <v>86400</v>
      </c>
    </row>
    <row r="19">
      <c r="B19" s="5"/>
      <c r="C19" s="22" t="s">
        <v>10</v>
      </c>
      <c r="D19" s="5">
        <v>626</v>
      </c>
      <c r="E19" s="5">
        <v>626</v>
      </c>
      <c r="F19" s="5">
        <v>626</v>
      </c>
      <c r="G19" s="5">
        <v>626</v>
      </c>
      <c r="H19" s="5">
        <v>626</v>
      </c>
      <c r="I19" s="5">
        <v>626</v>
      </c>
      <c r="J19" s="5">
        <v>626</v>
      </c>
      <c r="K19" s="5">
        <v>626</v>
      </c>
      <c r="L19" s="5">
        <v>626</v>
      </c>
      <c r="M19" s="5">
        <v>626</v>
      </c>
      <c r="N19" s="5">
        <v>626</v>
      </c>
      <c r="O19" s="5">
        <v>626</v>
      </c>
      <c r="P19" s="5">
        <f>SUM(D19:O19)</f>
        <v>7512</v>
      </c>
    </row>
    <row r="20">
      <c r="B20" s="25"/>
      <c r="C20" s="24" t="s">
        <v>11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5"/>
    </row>
    <row r="21">
      <c r="B21" s="5"/>
      <c r="C21" s="3" t="s">
        <v>12</v>
      </c>
      <c r="D21" s="5">
        <v>3500</v>
      </c>
      <c r="E21" s="5">
        <v>3500</v>
      </c>
      <c r="F21" s="5">
        <v>3500</v>
      </c>
      <c r="G21" s="5">
        <v>3500</v>
      </c>
      <c r="H21" s="5">
        <v>3500</v>
      </c>
      <c r="I21" s="5">
        <v>3500</v>
      </c>
      <c r="J21" s="5">
        <v>3500</v>
      </c>
      <c r="K21" s="5">
        <v>3500</v>
      </c>
      <c r="L21" s="5">
        <v>3500</v>
      </c>
      <c r="M21" s="5">
        <v>3500</v>
      </c>
      <c r="N21" s="5">
        <v>3500</v>
      </c>
      <c r="O21" s="5">
        <v>3500</v>
      </c>
      <c r="P21" s="5">
        <f>SUM(D21:O21)</f>
        <v>42000</v>
      </c>
    </row>
    <row r="22">
      <c r="B22" s="5"/>
      <c r="C22" s="3" t="s">
        <v>13</v>
      </c>
      <c r="D22" s="5">
        <v>4000</v>
      </c>
      <c r="E22" s="5">
        <v>4000</v>
      </c>
      <c r="F22" s="5">
        <v>4000</v>
      </c>
      <c r="G22" s="5">
        <v>4000</v>
      </c>
      <c r="H22" s="5">
        <v>4000</v>
      </c>
      <c r="I22" s="5">
        <v>4000</v>
      </c>
      <c r="J22" s="5">
        <v>4000</v>
      </c>
      <c r="K22" s="5">
        <v>4000</v>
      </c>
      <c r="L22" s="5">
        <v>4000</v>
      </c>
      <c r="M22" s="5">
        <v>4000</v>
      </c>
      <c r="N22" s="5">
        <v>4000</v>
      </c>
      <c r="O22" s="5">
        <v>4000</v>
      </c>
      <c r="P22" s="5">
        <f>SUM(D22:O22)</f>
        <v>48000</v>
      </c>
    </row>
    <row r="23">
      <c r="B23" s="5"/>
      <c r="C23" s="3" t="s">
        <v>14</v>
      </c>
      <c r="D23" s="5">
        <v>125</v>
      </c>
      <c r="E23" s="5">
        <v>125</v>
      </c>
      <c r="F23" s="5">
        <v>125</v>
      </c>
      <c r="G23" s="5">
        <v>125</v>
      </c>
      <c r="H23" s="5">
        <v>125</v>
      </c>
      <c r="I23" s="5">
        <v>125</v>
      </c>
      <c r="J23" s="5">
        <v>125</v>
      </c>
      <c r="K23" s="5">
        <v>125</v>
      </c>
      <c r="L23" s="5">
        <v>125</v>
      </c>
      <c r="M23" s="5">
        <v>125</v>
      </c>
      <c r="N23" s="5">
        <v>125</v>
      </c>
      <c r="O23" s="5">
        <v>125</v>
      </c>
      <c r="P23" s="5">
        <f>SUM(D23:O23)</f>
        <v>1500</v>
      </c>
    </row>
    <row r="24">
      <c r="B24" s="5"/>
      <c r="C24" s="21" t="s">
        <v>51</v>
      </c>
      <c r="D24" s="5">
        <f>D5*0.065</f>
        <v>23692.5</v>
      </c>
      <c r="E24" s="5">
        <f>E5*0.065</f>
        <v>24008.4</v>
      </c>
      <c r="F24" s="5">
        <f>F5*0.065</f>
        <v>24008.4</v>
      </c>
      <c r="G24" s="5">
        <f>G5*0.065</f>
        <v>25342.2</v>
      </c>
      <c r="H24" s="5">
        <f>H5*0.065</f>
        <v>26676</v>
      </c>
      <c r="I24" s="5">
        <f>I5*0.065</f>
        <v>26676</v>
      </c>
      <c r="J24" s="5">
        <f>J5*0.065</f>
        <v>26851.5</v>
      </c>
      <c r="K24" s="5">
        <f>K5*0.065</f>
        <v>29536.650000000005</v>
      </c>
      <c r="L24" s="5">
        <f>L5*0.065</f>
        <v>29536.650000000005</v>
      </c>
      <c r="M24" s="5">
        <f>M5*0.065</f>
        <v>26851.5</v>
      </c>
      <c r="N24" s="5">
        <f>N5*0.065</f>
        <v>25508.925</v>
      </c>
      <c r="O24" s="5">
        <f>O5*0.065</f>
        <v>24166.350000000002</v>
      </c>
      <c r="P24" s="5">
        <f>SUM(D24:O24)</f>
        <v>312855.07499999995</v>
      </c>
    </row>
    <row r="25">
      <c r="B25" s="5"/>
      <c r="C25" s="40" t="s">
        <v>68</v>
      </c>
      <c r="D25" s="5">
        <v>7500</v>
      </c>
      <c r="E25" s="5">
        <v>7500</v>
      </c>
      <c r="F25" s="5">
        <v>7500</v>
      </c>
      <c r="G25" s="5">
        <v>7500</v>
      </c>
      <c r="H25" s="5">
        <v>7500</v>
      </c>
      <c r="I25" s="5">
        <v>7500</v>
      </c>
      <c r="J25" s="5">
        <v>7500</v>
      </c>
      <c r="K25" s="5">
        <v>7500</v>
      </c>
      <c r="L25" s="5">
        <v>7500</v>
      </c>
      <c r="M25" s="5">
        <v>7500</v>
      </c>
      <c r="N25" s="5">
        <v>7500</v>
      </c>
      <c r="O25" s="5">
        <v>7500</v>
      </c>
      <c r="P25" s="5">
        <f>SUM(D25:O25)</f>
        <v>90000</v>
      </c>
    </row>
    <row r="26">
      <c r="B26" s="5"/>
      <c r="C26" s="3" t="s">
        <v>15</v>
      </c>
      <c r="D26" s="5">
        <v>25000</v>
      </c>
      <c r="E26" s="5">
        <v>25000</v>
      </c>
      <c r="F26" s="5">
        <v>25000</v>
      </c>
      <c r="G26" s="5">
        <v>25000</v>
      </c>
      <c r="H26" s="5">
        <v>25000</v>
      </c>
      <c r="I26" s="5">
        <v>25000</v>
      </c>
      <c r="J26" s="5">
        <v>25000</v>
      </c>
      <c r="K26" s="5">
        <v>25000</v>
      </c>
      <c r="L26" s="5">
        <v>25000</v>
      </c>
      <c r="M26" s="5">
        <v>25000</v>
      </c>
      <c r="N26" s="5">
        <v>25000</v>
      </c>
      <c r="O26" s="5">
        <v>25000</v>
      </c>
      <c r="P26" s="5">
        <f>SUM(D26:O26)</f>
        <v>300000</v>
      </c>
    </row>
    <row r="27">
      <c r="B27" s="5"/>
      <c r="C27" s="3" t="s">
        <v>16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>SUM(D27:O27)</f>
        <v>0</v>
      </c>
    </row>
    <row r="28">
      <c r="B28" s="25"/>
      <c r="C28" s="24" t="s">
        <v>17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5"/>
    </row>
    <row r="29">
      <c r="B29" s="5"/>
      <c r="C29" s="3" t="s">
        <v>18</v>
      </c>
      <c r="D29" s="5">
        <f>4501*1.03</f>
        <v>4636.03</v>
      </c>
      <c r="E29" s="5">
        <f>4501*1.03</f>
        <v>4636.03</v>
      </c>
      <c r="F29" s="5">
        <f>4501*1.03</f>
        <v>4636.03</v>
      </c>
      <c r="G29" s="5">
        <f>4501*1.03</f>
        <v>4636.03</v>
      </c>
      <c r="H29" s="5">
        <f>4501*1.03</f>
        <v>4636.03</v>
      </c>
      <c r="I29" s="5">
        <f>4501*1.03</f>
        <v>4636.03</v>
      </c>
      <c r="J29" s="5">
        <f>4501*1.03</f>
        <v>4636.03</v>
      </c>
      <c r="K29" s="5">
        <f>4501*1.03</f>
        <v>4636.03</v>
      </c>
      <c r="L29" s="5">
        <f>4501*1.03</f>
        <v>4636.03</v>
      </c>
      <c r="M29" s="5">
        <f>4501*1.03</f>
        <v>4636.03</v>
      </c>
      <c r="N29" s="5">
        <f>4501*1.03</f>
        <v>4636.03</v>
      </c>
      <c r="O29" s="5">
        <f>4501*1.03</f>
        <v>4636.03</v>
      </c>
      <c r="P29" s="5">
        <f>SUM(D29:O29)</f>
        <v>55632.35999999999</v>
      </c>
    </row>
    <row r="30">
      <c r="B30" s="5"/>
      <c r="C30" s="3" t="s">
        <v>19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>SUM(D30:O30)</f>
        <v>0</v>
      </c>
    </row>
    <row r="31">
      <c r="B31" s="5"/>
      <c r="C31" s="3" t="s">
        <v>20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>SUM(D31:O31)</f>
        <v>0</v>
      </c>
    </row>
    <row r="32">
      <c r="B32" s="25"/>
      <c r="C32" s="24" t="s">
        <v>21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5"/>
    </row>
    <row r="33">
      <c r="B33" s="5"/>
      <c r="C33" s="3" t="s">
        <v>50</v>
      </c>
      <c r="D33" s="5">
        <v>625</v>
      </c>
      <c r="E33" s="5">
        <v>625</v>
      </c>
      <c r="F33" s="5">
        <v>625</v>
      </c>
      <c r="G33" s="5">
        <v>625</v>
      </c>
      <c r="H33" s="5">
        <v>625</v>
      </c>
      <c r="I33" s="5">
        <v>625</v>
      </c>
      <c r="J33" s="5">
        <v>625</v>
      </c>
      <c r="K33" s="5">
        <v>625</v>
      </c>
      <c r="L33" s="5">
        <v>625</v>
      </c>
      <c r="M33" s="5">
        <v>625</v>
      </c>
      <c r="N33" s="5">
        <v>625</v>
      </c>
      <c r="O33" s="5">
        <v>625</v>
      </c>
      <c r="P33" s="5">
        <f>SUM(D33:O33)</f>
        <v>7500</v>
      </c>
    </row>
    <row r="34">
      <c r="B34" s="5"/>
      <c r="C34" s="3" t="s">
        <v>44</v>
      </c>
      <c r="D34" s="5">
        <v>500</v>
      </c>
      <c r="E34" s="5">
        <v>500</v>
      </c>
      <c r="F34" s="5">
        <v>500</v>
      </c>
      <c r="G34" s="5">
        <v>500</v>
      </c>
      <c r="H34" s="5">
        <v>500</v>
      </c>
      <c r="I34" s="5">
        <v>500</v>
      </c>
      <c r="J34" s="5">
        <v>500</v>
      </c>
      <c r="K34" s="5">
        <v>500</v>
      </c>
      <c r="L34" s="5">
        <v>500</v>
      </c>
      <c r="M34" s="5">
        <v>500</v>
      </c>
      <c r="N34" s="5">
        <v>500</v>
      </c>
      <c r="O34" s="5">
        <v>500</v>
      </c>
      <c r="P34" s="5">
        <f>SUM(D34:O34)</f>
        <v>6000</v>
      </c>
    </row>
    <row r="35">
      <c r="B35" s="5"/>
      <c r="C35" s="3" t="s">
        <v>22</v>
      </c>
      <c r="D35" s="5">
        <v>1560</v>
      </c>
      <c r="E35" s="5">
        <v>1560</v>
      </c>
      <c r="F35" s="5">
        <v>1560</v>
      </c>
      <c r="G35" s="5">
        <v>1560</v>
      </c>
      <c r="H35" s="5">
        <v>1560</v>
      </c>
      <c r="I35" s="5">
        <v>1560</v>
      </c>
      <c r="J35" s="5">
        <v>1560</v>
      </c>
      <c r="K35" s="5">
        <v>1560</v>
      </c>
      <c r="L35" s="5">
        <v>1560</v>
      </c>
      <c r="M35" s="5">
        <v>1560</v>
      </c>
      <c r="N35" s="5">
        <v>1560</v>
      </c>
      <c r="O35" s="5">
        <v>1560</v>
      </c>
      <c r="P35" s="5">
        <f>SUM(D35:O35)</f>
        <v>18720</v>
      </c>
    </row>
    <row r="36">
      <c r="B36" s="25"/>
      <c r="C36" s="24" t="s">
        <v>23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5"/>
    </row>
    <row r="37">
      <c r="B37" s="5"/>
      <c r="C37" s="3" t="s">
        <v>24</v>
      </c>
      <c r="D37" s="5">
        <f>D38*0.085</f>
        <v>11612.7</v>
      </c>
      <c r="E37" s="5">
        <f>E38*0.085</f>
        <v>11612.7</v>
      </c>
      <c r="F37" s="5">
        <f>F38*0.085</f>
        <v>11612.7</v>
      </c>
      <c r="G37" s="5">
        <f>G38*0.082</f>
        <v>11202.84</v>
      </c>
      <c r="H37" s="5">
        <f>H38*0.082</f>
        <v>11202.84</v>
      </c>
      <c r="I37" s="5">
        <f>I38*0.082</f>
        <v>11202.84</v>
      </c>
      <c r="J37" s="5">
        <f>J38*0.08108</f>
        <v>11077.1496</v>
      </c>
      <c r="K37" s="5">
        <f>K38*0.08108</f>
        <v>11077.1496</v>
      </c>
      <c r="L37" s="5">
        <f>L38*0.08108</f>
        <v>11077.1496</v>
      </c>
      <c r="M37" s="5">
        <f>M38*0.08108</f>
        <v>11077.1496</v>
      </c>
      <c r="N37" s="5">
        <f>N38*0.08108</f>
        <v>11077.1496</v>
      </c>
      <c r="O37" s="5">
        <f>O38*0.08108</f>
        <v>11077.1496</v>
      </c>
      <c r="P37" s="5">
        <f>SUM(D37:O37)</f>
        <v>134909.51760000002</v>
      </c>
    </row>
    <row r="38">
      <c r="B38" s="5"/>
      <c r="C38" s="3" t="s">
        <v>25</v>
      </c>
      <c r="D38" s="5">
        <f>132000*1.035</f>
        <v>136620</v>
      </c>
      <c r="E38" s="5">
        <f>132000*1.035</f>
        <v>136620</v>
      </c>
      <c r="F38" s="5">
        <f>132000*1.035</f>
        <v>136620</v>
      </c>
      <c r="G38" s="5">
        <f>132000*1.035</f>
        <v>136620</v>
      </c>
      <c r="H38" s="5">
        <f>132000*1.035</f>
        <v>136620</v>
      </c>
      <c r="I38" s="5">
        <f>132000*1.035</f>
        <v>136620</v>
      </c>
      <c r="J38" s="5">
        <f>132000*1.035</f>
        <v>136620</v>
      </c>
      <c r="K38" s="5">
        <f>132000*1.035</f>
        <v>136620</v>
      </c>
      <c r="L38" s="5">
        <f>132000*1.035</f>
        <v>136620</v>
      </c>
      <c r="M38" s="5">
        <f>132000*1.035</f>
        <v>136620</v>
      </c>
      <c r="N38" s="5">
        <f>132000*1.035</f>
        <v>136620</v>
      </c>
      <c r="O38" s="5">
        <f>132000*1.035</f>
        <v>136620</v>
      </c>
      <c r="P38" s="5">
        <f>SUM(D38:O38)</f>
        <v>1639440</v>
      </c>
    </row>
    <row r="39">
      <c r="B39" s="25"/>
      <c r="C39" s="24" t="s">
        <v>26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5"/>
    </row>
    <row r="40">
      <c r="B40" s="5"/>
      <c r="C40" s="3" t="s">
        <v>45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>SUM(D40:O40)</f>
        <v>0</v>
      </c>
    </row>
    <row r="41">
      <c r="B41" s="5"/>
      <c r="C41" s="3" t="s">
        <v>27</v>
      </c>
      <c r="D41" s="5">
        <v>2500</v>
      </c>
      <c r="E41" s="5">
        <v>2500</v>
      </c>
      <c r="F41" s="5">
        <v>2500</v>
      </c>
      <c r="G41" s="5">
        <v>2500</v>
      </c>
      <c r="H41" s="5">
        <v>2500</v>
      </c>
      <c r="I41" s="5">
        <v>2500</v>
      </c>
      <c r="J41" s="5">
        <v>2500</v>
      </c>
      <c r="K41" s="5">
        <v>2500</v>
      </c>
      <c r="L41" s="5">
        <v>2500</v>
      </c>
      <c r="M41" s="5">
        <v>2500</v>
      </c>
      <c r="N41" s="5">
        <v>2500</v>
      </c>
      <c r="O41" s="5">
        <v>2500</v>
      </c>
      <c r="P41" s="5">
        <f>SUM(D41:O41)</f>
        <v>30000</v>
      </c>
    </row>
    <row r="42">
      <c r="B42" s="5"/>
      <c r="C42" s="3" t="s">
        <v>28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3"/>
    </row>
    <row r="43">
      <c r="B43" s="8">
        <f>SUM(B13:B42)</f>
        <v>0</v>
      </c>
      <c r="C43" s="3" t="s">
        <v>29</v>
      </c>
      <c r="D43" s="8">
        <f>SUM(D13:D42)</f>
        <v>239757.22999999998</v>
      </c>
      <c r="E43" s="8">
        <f>SUM(E13:E42)</f>
        <v>240073.13</v>
      </c>
      <c r="F43" s="8">
        <f>SUM(F13:F42)</f>
        <v>240073.13</v>
      </c>
      <c r="G43" s="8">
        <f>SUM(G13:G42)</f>
        <v>240997.07</v>
      </c>
      <c r="H43" s="8">
        <f>SUM(H13:H42)</f>
        <v>242330.87</v>
      </c>
      <c r="I43" s="8">
        <f>SUM(I13:I42)</f>
        <v>242330.87</v>
      </c>
      <c r="J43" s="8">
        <f>SUM(J13:J42)</f>
        <v>242380.6796</v>
      </c>
      <c r="K43" s="8">
        <f>SUM(K13:K42)</f>
        <v>245065.8296</v>
      </c>
      <c r="L43" s="8">
        <f>SUM(L13:L42)</f>
        <v>245065.8296</v>
      </c>
      <c r="M43" s="8">
        <f>SUM(M13:M42)</f>
        <v>242380.6796</v>
      </c>
      <c r="N43" s="8">
        <f>SUM(N13:N42)</f>
        <v>241038.10460000002</v>
      </c>
      <c r="O43" s="8">
        <f>SUM(O13:O42)</f>
        <v>239695.5296</v>
      </c>
      <c r="P43" s="9">
        <f>SUM(D43:O43)</f>
        <v>2901188.9526000004</v>
      </c>
    </row>
    <row r="44">
      <c r="B44" s="5"/>
      <c r="C44" s="23" t="s">
        <v>47</v>
      </c>
      <c r="D44" s="5">
        <f>D11-D43</f>
        <v>9972.770000000019</v>
      </c>
      <c r="E44" s="5">
        <f>E11-E43</f>
        <v>13253.26999999999</v>
      </c>
      <c r="F44" s="5">
        <f>F11-F43</f>
        <v>12253.26999999999</v>
      </c>
      <c r="G44" s="5">
        <f>G11-G43</f>
        <v>26514.130000000005</v>
      </c>
      <c r="H44" s="5">
        <f>H11-H43</f>
        <v>40365.130000000005</v>
      </c>
      <c r="I44" s="5">
        <f>I11-I43</f>
        <v>40365.130000000005</v>
      </c>
      <c r="J44" s="5">
        <f>J11-J43</f>
        <v>42313.3204</v>
      </c>
      <c r="K44" s="5">
        <f>K11-K43</f>
        <v>70197.57040000003</v>
      </c>
      <c r="L44" s="5">
        <f>L11-L43</f>
        <v>70197.57040000003</v>
      </c>
      <c r="M44" s="5">
        <f>M11-M43</f>
        <v>42313.3204</v>
      </c>
      <c r="N44" s="5">
        <f>N11-N43</f>
        <v>28371.195399999968</v>
      </c>
      <c r="O44" s="5">
        <f>O11-O43</f>
        <v>14429.070399999968</v>
      </c>
      <c r="P44" s="6">
        <f>SUM(D44:O44)</f>
        <v>410545.7474</v>
      </c>
    </row>
    <row r="45">
      <c r="B45" s="5"/>
      <c r="C45" s="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/>
    </row>
    <row r="46">
      <c r="B46" s="5"/>
      <c r="C46" s="3" t="s">
        <v>33</v>
      </c>
      <c r="D46" s="5">
        <v>2268</v>
      </c>
      <c r="E46" s="5">
        <v>2268</v>
      </c>
      <c r="F46" s="5">
        <v>2268</v>
      </c>
      <c r="G46" s="5">
        <v>2268</v>
      </c>
      <c r="H46" s="5">
        <v>2268</v>
      </c>
      <c r="I46" s="5">
        <v>2268</v>
      </c>
      <c r="J46" s="5">
        <v>2268</v>
      </c>
      <c r="K46" s="5">
        <v>2268</v>
      </c>
      <c r="L46" s="5">
        <v>2268</v>
      </c>
      <c r="M46" s="5">
        <v>2268</v>
      </c>
      <c r="N46" s="5">
        <v>2268</v>
      </c>
      <c r="O46" s="5">
        <v>2268</v>
      </c>
      <c r="P46" s="6">
        <f>SUM(D46:O46)</f>
        <v>27216</v>
      </c>
    </row>
    <row r="47">
      <c r="C47" t="s">
        <v>52</v>
      </c>
      <c r="D47" s="31">
        <v>820</v>
      </c>
      <c r="E47" s="31">
        <v>820</v>
      </c>
      <c r="F47" s="31">
        <v>820</v>
      </c>
      <c r="G47" s="31">
        <v>820</v>
      </c>
      <c r="H47" s="31">
        <v>820</v>
      </c>
      <c r="I47" s="31">
        <v>820</v>
      </c>
      <c r="J47" s="31">
        <v>820</v>
      </c>
      <c r="K47" s="31">
        <v>820</v>
      </c>
      <c r="L47" s="31">
        <v>820</v>
      </c>
      <c r="M47" s="31">
        <v>820</v>
      </c>
      <c r="N47" s="31">
        <v>820</v>
      </c>
      <c r="O47" s="31">
        <v>820</v>
      </c>
      <c r="P47" s="6">
        <f>SUM(D47:O47)</f>
        <v>9840</v>
      </c>
      <c r="Q47" s="31"/>
    </row>
    <row r="48">
      <c r="C48" t="s">
        <v>53</v>
      </c>
      <c r="D48" s="31">
        <v>580</v>
      </c>
      <c r="E48" s="31">
        <v>580</v>
      </c>
      <c r="F48" s="31">
        <v>580</v>
      </c>
      <c r="G48" s="31">
        <v>580</v>
      </c>
      <c r="H48" s="31">
        <v>580</v>
      </c>
      <c r="I48" s="31">
        <v>580</v>
      </c>
      <c r="J48" s="31">
        <v>580</v>
      </c>
      <c r="K48" s="31">
        <v>580</v>
      </c>
      <c r="L48" s="31">
        <v>580</v>
      </c>
      <c r="M48" s="31">
        <v>580</v>
      </c>
      <c r="N48" s="31">
        <v>580</v>
      </c>
      <c r="O48" s="31">
        <v>580</v>
      </c>
      <c r="P48" s="6">
        <f>SUM(D48:O48)</f>
        <v>6960</v>
      </c>
      <c r="Q48" s="31"/>
    </row>
    <row r="49">
      <c r="C49" t="s">
        <v>54</v>
      </c>
      <c r="D49" s="31">
        <v>600</v>
      </c>
      <c r="E49" s="31">
        <v>600</v>
      </c>
      <c r="F49" s="31">
        <v>600</v>
      </c>
      <c r="G49" s="31">
        <v>600</v>
      </c>
      <c r="H49" s="31">
        <v>600</v>
      </c>
      <c r="I49" s="31">
        <v>600</v>
      </c>
      <c r="J49" s="31">
        <v>600</v>
      </c>
      <c r="K49" s="31">
        <v>600</v>
      </c>
      <c r="L49" s="31">
        <v>600</v>
      </c>
      <c r="M49" s="31">
        <v>600</v>
      </c>
      <c r="N49" s="31">
        <v>600</v>
      </c>
      <c r="O49" s="31">
        <v>600</v>
      </c>
      <c r="P49" s="6">
        <f>SUM(D49:O49)</f>
        <v>7200</v>
      </c>
      <c r="Q49" s="31"/>
    </row>
    <row r="50">
      <c r="C50" t="s">
        <v>55</v>
      </c>
      <c r="D50" s="31">
        <v>2400</v>
      </c>
      <c r="E50" s="31">
        <v>2400</v>
      </c>
      <c r="F50" s="31">
        <v>2400</v>
      </c>
      <c r="G50" s="31">
        <v>2400</v>
      </c>
      <c r="H50" s="31">
        <v>2400</v>
      </c>
      <c r="I50" s="31">
        <v>2400</v>
      </c>
      <c r="J50" s="31">
        <v>2400</v>
      </c>
      <c r="K50" s="31">
        <v>2400</v>
      </c>
      <c r="L50" s="31">
        <v>2400</v>
      </c>
      <c r="M50" s="31">
        <v>2400</v>
      </c>
      <c r="N50" s="31">
        <v>2400</v>
      </c>
      <c r="O50" s="31">
        <v>2400</v>
      </c>
      <c r="P50" s="6">
        <f>SUM(D50:O50)</f>
        <v>28800</v>
      </c>
      <c r="Q50" s="31"/>
    </row>
    <row r="51">
      <c r="C51" t="s">
        <v>56</v>
      </c>
      <c r="D51" s="31">
        <v>1500</v>
      </c>
      <c r="E51" s="31">
        <v>1500</v>
      </c>
      <c r="F51" s="31">
        <v>1500</v>
      </c>
      <c r="G51" s="31">
        <v>1500</v>
      </c>
      <c r="H51" s="31">
        <v>1500</v>
      </c>
      <c r="I51" s="31">
        <v>1500</v>
      </c>
      <c r="J51" s="31">
        <v>1500</v>
      </c>
      <c r="K51" s="31">
        <v>1500</v>
      </c>
      <c r="L51" s="31">
        <v>1500</v>
      </c>
      <c r="M51" s="31">
        <v>1500</v>
      </c>
      <c r="N51" s="31">
        <v>1500</v>
      </c>
      <c r="O51" s="31">
        <v>1500</v>
      </c>
      <c r="P51" s="6">
        <f>SUM(D51:O51)</f>
        <v>18000</v>
      </c>
      <c r="Q51" s="31"/>
    </row>
    <row r="52">
      <c r="C52" t="s">
        <v>57</v>
      </c>
      <c r="D52" s="33">
        <v>1809</v>
      </c>
      <c r="E52" s="33">
        <v>1809</v>
      </c>
      <c r="F52" s="33">
        <v>1809</v>
      </c>
      <c r="G52" s="33">
        <v>1809</v>
      </c>
      <c r="H52" s="33">
        <v>1809</v>
      </c>
      <c r="I52" s="33">
        <v>1809</v>
      </c>
      <c r="J52" s="33">
        <v>1809</v>
      </c>
      <c r="K52" s="33">
        <v>1809</v>
      </c>
      <c r="L52" s="33">
        <v>1809</v>
      </c>
      <c r="M52" s="33">
        <v>1809</v>
      </c>
      <c r="N52" s="33">
        <v>1809</v>
      </c>
      <c r="O52" s="33">
        <v>1809</v>
      </c>
      <c r="P52" s="6">
        <f>SUM(D52:O52)</f>
        <v>21708</v>
      </c>
      <c r="Q52" s="33"/>
    </row>
    <row r="53">
      <c r="C53" t="s">
        <v>58</v>
      </c>
      <c r="D53" s="35">
        <v>2100</v>
      </c>
      <c r="E53" s="35">
        <v>2100</v>
      </c>
      <c r="F53" s="35">
        <v>2100</v>
      </c>
      <c r="G53" s="35">
        <v>2100</v>
      </c>
      <c r="H53" s="35">
        <v>2100</v>
      </c>
      <c r="I53" s="35">
        <v>2100</v>
      </c>
      <c r="J53" s="35">
        <v>2100</v>
      </c>
      <c r="K53" s="35">
        <v>2100</v>
      </c>
      <c r="L53" s="35">
        <v>2100</v>
      </c>
      <c r="M53" s="35">
        <v>2100</v>
      </c>
      <c r="N53" s="35">
        <v>2100</v>
      </c>
      <c r="O53" s="35">
        <v>2100</v>
      </c>
      <c r="P53" s="38">
        <f>SUM(D53:O53)</f>
        <v>25200</v>
      </c>
      <c r="Q53" s="33"/>
    </row>
    <row r="54">
      <c r="A54" s="3"/>
      <c r="B54" s="5"/>
      <c r="C54" s="10" t="s">
        <v>61</v>
      </c>
      <c r="D54" s="5">
        <f>SUM(D46:D53)</f>
        <v>12077</v>
      </c>
      <c r="E54" s="5">
        <f>SUM(E46:E53)</f>
        <v>12077</v>
      </c>
      <c r="F54" s="5">
        <f>SUM(F46:F53)</f>
        <v>12077</v>
      </c>
      <c r="G54" s="5">
        <f>SUM(G46:G53)</f>
        <v>12077</v>
      </c>
      <c r="H54" s="5">
        <f>SUM(H46:H53)</f>
        <v>12077</v>
      </c>
      <c r="I54" s="5">
        <f>SUM(I46:I53)</f>
        <v>12077</v>
      </c>
      <c r="J54" s="5">
        <f>SUM(J46:J53)</f>
        <v>12077</v>
      </c>
      <c r="K54" s="5">
        <f>SUM(K46:K53)</f>
        <v>12077</v>
      </c>
      <c r="L54" s="5">
        <f>SUM(L46:L53)</f>
        <v>12077</v>
      </c>
      <c r="M54" s="5">
        <f>SUM(M46:M53)</f>
        <v>12077</v>
      </c>
      <c r="N54" s="5">
        <f>SUM(N46:N53)</f>
        <v>12077</v>
      </c>
      <c r="O54" s="5">
        <f>SUM(O46:O53)</f>
        <v>12077</v>
      </c>
      <c r="P54" s="6">
        <f>SUM(P46:P53)</f>
        <v>144924</v>
      </c>
    </row>
    <row r="55">
      <c r="A55" s="3"/>
      <c r="B55" s="5"/>
      <c r="C55" s="1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/>
    </row>
    <row r="56">
      <c r="A56" s="3" t="s">
        <v>30</v>
      </c>
      <c r="B56" s="8" t="e">
        <f>B8-B43-B45</f>
        <v>#REF!</v>
      </c>
      <c r="C56" s="10" t="s">
        <v>71</v>
      </c>
      <c r="D56" s="8">
        <f>D44-D54</f>
        <v>-2104.2299999999814</v>
      </c>
      <c r="E56" s="8">
        <f>E44-E54</f>
        <v>1176.2699999999895</v>
      </c>
      <c r="F56" s="8">
        <f>F44-F54</f>
        <v>176.26999999998952</v>
      </c>
      <c r="G56" s="8">
        <f>G44-G54</f>
        <v>14437.130000000005</v>
      </c>
      <c r="H56" s="8">
        <f>H44-H54</f>
        <v>28288.130000000005</v>
      </c>
      <c r="I56" s="8">
        <f>I44-I54</f>
        <v>28288.130000000005</v>
      </c>
      <c r="J56" s="8">
        <f>J44-J54</f>
        <v>30236.320399999997</v>
      </c>
      <c r="K56" s="8">
        <f>K44-K54</f>
        <v>58120.570400000026</v>
      </c>
      <c r="L56" s="8">
        <f>L44-L54</f>
        <v>58120.570400000026</v>
      </c>
      <c r="M56" s="8">
        <f>M44-M54</f>
        <v>30236.320399999997</v>
      </c>
      <c r="N56" s="8">
        <f>N44-N54</f>
        <v>16294.195399999968</v>
      </c>
      <c r="O56" s="8">
        <f>O44-O54</f>
        <v>2352.070399999968</v>
      </c>
      <c r="P56" s="8">
        <f>P44-P54</f>
        <v>265621.7474</v>
      </c>
    </row>
    <row r="57">
      <c r="A57" s="3"/>
      <c r="B57" s="5"/>
      <c r="C57" s="1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>
      <c r="A58" s="3"/>
      <c r="B58" s="5"/>
      <c r="C58" s="3" t="s">
        <v>35</v>
      </c>
      <c r="D58" s="3"/>
      <c r="E58" s="3"/>
      <c r="F58" s="3"/>
      <c r="G58" s="36">
        <v>5000</v>
      </c>
      <c r="H58" s="36">
        <v>25000</v>
      </c>
      <c r="I58" s="36">
        <v>20000</v>
      </c>
      <c r="J58" s="36">
        <v>10000</v>
      </c>
      <c r="K58" s="36"/>
      <c r="L58" s="36"/>
      <c r="M58" s="36"/>
      <c r="N58" s="36"/>
      <c r="O58" s="3"/>
      <c r="P58" s="39">
        <f>SUM(D58:O58)</f>
        <v>60000</v>
      </c>
    </row>
    <row r="59">
      <c r="A59" s="3"/>
      <c r="B59" s="5"/>
      <c r="C59" s="3" t="s">
        <v>36</v>
      </c>
      <c r="D59" s="3"/>
      <c r="E59" s="3"/>
      <c r="F59" s="36">
        <v>10000</v>
      </c>
      <c r="G59" s="36"/>
      <c r="H59" s="36"/>
      <c r="I59" s="36">
        <v>25000</v>
      </c>
      <c r="J59" s="36">
        <v>0</v>
      </c>
      <c r="K59" s="36"/>
      <c r="L59" s="36">
        <v>122000</v>
      </c>
      <c r="M59" s="36"/>
      <c r="N59" s="36"/>
      <c r="O59" s="36">
        <v>47000</v>
      </c>
      <c r="P59" s="39">
        <f>SUM(D59:O59)</f>
        <v>204000</v>
      </c>
    </row>
    <row r="60">
      <c r="A60" s="3"/>
      <c r="B60" s="5"/>
      <c r="C60" s="3" t="s">
        <v>37</v>
      </c>
      <c r="D60" s="3"/>
      <c r="E60" s="3"/>
      <c r="F60" s="36"/>
      <c r="G60" s="3"/>
      <c r="H60" s="3"/>
      <c r="I60" s="6"/>
      <c r="J60" s="3"/>
      <c r="K60" s="3"/>
      <c r="L60" s="3"/>
      <c r="M60" s="3"/>
      <c r="N60" s="3"/>
      <c r="O60" s="6">
        <v>1000</v>
      </c>
      <c r="P60" s="38">
        <f>SUM(F60:O60)</f>
        <v>1000</v>
      </c>
      <c r="R60" s="18"/>
    </row>
    <row r="61">
      <c r="A61" s="3"/>
      <c r="B61" s="5"/>
      <c r="C61" s="1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37"/>
    </row>
    <row r="62">
      <c r="A62" s="3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>
        <f>SUM(P58:P61)</f>
        <v>265000</v>
      </c>
    </row>
    <row r="63">
      <c r="A63" s="3"/>
      <c r="B63" s="5"/>
      <c r="C63" s="1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/>
    </row>
    <row r="64">
      <c r="A64" s="3"/>
      <c r="B64" s="5"/>
      <c r="C64" s="1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3"/>
    </row>
    <row r="65">
      <c r="A65" s="3"/>
      <c r="B65" s="5"/>
      <c r="C65" s="1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3"/>
    </row>
    <row r="66">
      <c r="A66" s="3"/>
      <c r="B66" s="5"/>
      <c r="C66" s="1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/>
    </row>
    <row r="67">
      <c r="A67" s="3"/>
      <c r="B67" s="5"/>
      <c r="C67" s="1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3"/>
    </row>
    <row r="68">
      <c r="A68" s="3"/>
      <c r="B68" s="5"/>
      <c r="C68" s="1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/>
    </row>
    <row r="69">
      <c r="A69" s="3"/>
      <c r="B69" s="5"/>
      <c r="C69" s="1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3"/>
    </row>
    <row r="70">
      <c r="A70" s="3"/>
      <c r="B70" s="5"/>
      <c r="C70" s="1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</row>
    <row r="71">
      <c r="A71" s="3"/>
      <c r="B71" s="5"/>
      <c r="C71" s="1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</row>
    <row r="72">
      <c r="A72" s="3"/>
      <c r="B72" s="5"/>
      <c r="C72" s="1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</row>
    <row r="73">
      <c r="A73" s="3"/>
      <c r="B73" s="5"/>
      <c r="C73" s="1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3"/>
    </row>
    <row r="74">
      <c r="A74" s="3"/>
      <c r="B74" s="5"/>
      <c r="C74" s="1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</row>
    <row r="75">
      <c r="A75" s="3"/>
      <c r="B75" s="5"/>
      <c r="C75" s="1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</row>
    <row r="76">
      <c r="A76" s="3"/>
      <c r="B76" s="5"/>
      <c r="C76" s="1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3"/>
    </row>
    <row r="77">
      <c r="A77" s="3"/>
      <c r="B77" s="5"/>
      <c r="C77" s="1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</row>
    <row r="78">
      <c r="A78" s="3"/>
      <c r="B78" s="5"/>
      <c r="C78" s="1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/>
    </row>
    <row r="79">
      <c r="A79" s="3"/>
      <c r="B79" s="5"/>
      <c r="C79" s="1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/>
      <c r="Q79" s="2"/>
    </row>
    <row r="80">
      <c r="A80" s="3"/>
      <c r="B80" s="5"/>
      <c r="C80" s="1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/>
    </row>
    <row r="81">
      <c r="A81" s="3"/>
      <c r="B81" s="5"/>
      <c r="C81" s="1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3"/>
    </row>
    <row r="82">
      <c r="A82" s="3"/>
      <c r="B82" s="5"/>
      <c r="C82" s="1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/>
    </row>
    <row r="83">
      <c r="A83" s="3"/>
      <c r="B83" s="5"/>
      <c r="C83" s="1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3"/>
    </row>
    <row r="84">
      <c r="A84" s="3"/>
      <c r="B84" s="5"/>
      <c r="C84" s="1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/>
    </row>
    <row r="85">
      <c r="A85" s="3"/>
      <c r="B85" s="5"/>
      <c r="C85" s="1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/>
    </row>
    <row r="86">
      <c r="A86" s="3"/>
      <c r="B86" s="5"/>
      <c r="C86" s="1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/>
    </row>
    <row r="87">
      <c r="A87" s="3"/>
      <c r="B87" s="5"/>
      <c r="C87" s="1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3"/>
    </row>
    <row r="88">
      <c r="A88" s="3"/>
      <c r="B88" s="5"/>
      <c r="C88" s="1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/>
    </row>
    <row r="89">
      <c r="A89" s="3"/>
      <c r="B89" s="5"/>
      <c r="C89" s="1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/>
    </row>
    <row r="90">
      <c r="A90" s="3"/>
      <c r="B90" s="5"/>
      <c r="C90" s="1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/>
    </row>
    <row r="91">
      <c r="A91" s="3"/>
      <c r="B91" s="5"/>
      <c r="C91" s="1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3"/>
    </row>
    <row r="92">
      <c r="A92" s="3"/>
      <c r="B92" s="5"/>
      <c r="C92" s="1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/>
    </row>
    <row r="93">
      <c r="A93" s="3"/>
      <c r="B93" s="5"/>
      <c r="C93" s="1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3"/>
    </row>
    <row r="94">
      <c r="A94" s="3"/>
      <c r="B94" s="12"/>
      <c r="C94" s="10"/>
      <c r="D94" s="12"/>
      <c r="E94" s="12"/>
      <c r="F94" s="5"/>
      <c r="G94" s="5"/>
      <c r="H94" s="5"/>
      <c r="I94" s="5"/>
      <c r="J94" s="5"/>
      <c r="K94" s="5"/>
      <c r="L94" s="5"/>
      <c r="M94" s="5"/>
      <c r="N94" s="5"/>
      <c r="O94" s="5"/>
      <c r="P94" s="6"/>
    </row>
    <row r="95">
      <c r="A95" s="3"/>
      <c r="B95" s="12"/>
      <c r="C95" s="13"/>
      <c r="D95" s="12"/>
      <c r="E95" s="12"/>
      <c r="F95" s="5"/>
      <c r="G95" s="5"/>
      <c r="H95" s="5"/>
      <c r="I95" s="5"/>
      <c r="J95" s="5"/>
      <c r="K95" s="5"/>
      <c r="L95" s="5"/>
      <c r="M95" s="5"/>
      <c r="N95" s="5"/>
      <c r="O95" s="5"/>
      <c r="P95" s="6"/>
    </row>
    <row r="96">
      <c r="A96" s="3"/>
      <c r="B96" s="12"/>
      <c r="C96" s="13"/>
      <c r="D96" s="12"/>
      <c r="E96" s="12"/>
      <c r="F96" s="5"/>
      <c r="G96" s="5"/>
      <c r="H96" s="5"/>
      <c r="I96" s="5"/>
      <c r="J96" s="5"/>
      <c r="K96" s="5"/>
      <c r="L96" s="5"/>
      <c r="M96" s="5"/>
      <c r="N96" s="5"/>
      <c r="O96" s="5"/>
      <c r="P96" s="6"/>
    </row>
    <row r="97">
      <c r="A97" s="3"/>
      <c r="B97" s="5"/>
      <c r="C97" s="1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3"/>
    </row>
    <row r="98">
      <c r="A98" s="3"/>
      <c r="B98" s="5"/>
      <c r="C98" s="10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/>
    </row>
    <row r="99">
      <c r="A99" s="3"/>
      <c r="B99" s="5"/>
      <c r="C99" s="1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/>
    </row>
    <row r="100">
      <c r="A100" s="3"/>
      <c r="B100" s="5"/>
      <c r="C100" s="1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/>
    </row>
    <row r="101">
      <c r="A101" s="3"/>
      <c r="B101" s="5"/>
      <c r="C101" s="1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/>
    </row>
    <row r="102">
      <c r="A102" s="3"/>
      <c r="B102" s="5"/>
      <c r="C102" s="1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3"/>
    </row>
    <row r="103">
      <c r="A103" s="3"/>
      <c r="B103" s="5"/>
      <c r="C103" s="1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3"/>
    </row>
    <row r="104">
      <c r="A104" s="3"/>
      <c r="B104" s="5"/>
      <c r="C104" s="1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3"/>
    </row>
    <row r="105">
      <c r="A105" s="3"/>
      <c r="B105" s="5"/>
      <c r="C105" s="1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6"/>
    </row>
    <row r="106">
      <c r="A106" s="3"/>
      <c r="B106" s="8"/>
      <c r="C106" s="1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/>
    </row>
    <row r="107">
      <c r="A107" s="3"/>
      <c r="B107" s="5"/>
      <c r="C107" s="1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6"/>
    </row>
    <row r="108">
      <c r="A108" s="3"/>
      <c r="B108" s="5"/>
      <c r="C108" s="1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6"/>
    </row>
    <row r="109">
      <c r="A109" s="3"/>
      <c r="B109" s="5"/>
      <c r="C109" s="10"/>
      <c r="D109" s="20"/>
      <c r="E109" s="20"/>
      <c r="F109" s="20"/>
      <c r="G109" s="5"/>
      <c r="H109" s="5"/>
      <c r="I109" s="5"/>
      <c r="J109" s="5"/>
      <c r="K109" s="5"/>
      <c r="L109" s="5"/>
      <c r="M109" s="5"/>
      <c r="N109" s="5"/>
      <c r="O109" s="5"/>
      <c r="P109" s="6"/>
    </row>
    <row r="110">
      <c r="A110" s="3"/>
      <c r="B110" s="8"/>
      <c r="C110" s="1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9"/>
    </row>
    <row r="111">
      <c r="A111" s="14"/>
      <c r="B111" s="15"/>
      <c r="C111" s="10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6"/>
    </row>
    <row r="112">
      <c r="B112" s="1"/>
      <c r="C112" s="2"/>
    </row>
    <row r="113">
      <c r="C113" s="2"/>
      <c r="O113" s="1"/>
    </row>
    <row r="114">
      <c r="A114" s="3"/>
      <c r="B114" s="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6"/>
    </row>
    <row r="115">
      <c r="A115" s="3" t="s">
        <v>36</v>
      </c>
      <c r="B115" s="3"/>
      <c r="C115" s="5"/>
      <c r="D115" s="5"/>
      <c r="E115" s="5"/>
      <c r="F115" s="5"/>
      <c r="G115" s="5">
        <v>100978.27</v>
      </c>
      <c r="H115" s="5"/>
      <c r="I115" s="5"/>
      <c r="J115" s="5"/>
      <c r="K115" s="5"/>
      <c r="L115" s="5"/>
      <c r="M115" s="5">
        <v>16660.16</v>
      </c>
      <c r="N115" s="5"/>
      <c r="O115" s="5"/>
      <c r="P115" s="6">
        <f>G115+M115</f>
        <v>117638.43000000001</v>
      </c>
    </row>
    <row r="116">
      <c r="A116" s="3" t="s">
        <v>37</v>
      </c>
      <c r="B116" s="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>
        <v>36826.08</v>
      </c>
      <c r="N116" s="5"/>
      <c r="O116" s="5"/>
      <c r="P116" s="6">
        <f>H116+M116</f>
        <v>36826.08</v>
      </c>
    </row>
    <row r="117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O125" s="1"/>
    </row>
  </sheetData>
  <pageMargins left="0.25" right="0.25" top="0.75" bottom="0.2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39"/>
  <sheetViews>
    <sheetView topLeftCell="C40" workbookViewId="0">
      <selection activeCell="P60" sqref="O60:P60"/>
    </sheetView>
  </sheetViews>
  <sheetFormatPr defaultRowHeight="15.75" x14ac:dyDescent="0.25" outlineLevelRow="0" outlineLevelCol="0"/>
  <cols>
    <col min="1" max="1" width="29.625" customWidth="1"/>
    <col min="2" max="2" width="12.125" hidden="1" customWidth="1"/>
    <col min="3" max="3" width="13.375" customWidth="1"/>
    <col min="4" max="4" width="11.875" customWidth="1"/>
    <col min="5" max="5" width="12.25" customWidth="1"/>
    <col min="6" max="6" width="12.125" bestFit="1" customWidth="1"/>
    <col min="7" max="7" width="12.125" bestFit="1" customWidth="1"/>
    <col min="8" max="8" width="12.125" bestFit="1" customWidth="1"/>
    <col min="9" max="9" width="12.125" bestFit="1" customWidth="1"/>
    <col min="10" max="10" width="12.125" bestFit="1" customWidth="1"/>
    <col min="11" max="11" width="12.125" bestFit="1" customWidth="1"/>
    <col min="12" max="12" width="12.125" bestFit="1" customWidth="1"/>
    <col min="13" max="13" width="12.125" bestFit="1" customWidth="1"/>
    <col min="14" max="14" width="14" customWidth="1"/>
    <col min="15" max="15" width="12.375" customWidth="1"/>
    <col min="16" max="16" width="15.875" customWidth="1"/>
    <col min="17" max="17" width="13.75" bestFit="1" customWidth="1"/>
  </cols>
  <sheetData>
    <row r="1">
      <c r="A1" s="30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3" t="s">
        <v>0</v>
      </c>
      <c r="B2" s="4" t="s">
        <v>34</v>
      </c>
      <c r="C2" s="3"/>
      <c r="D2" s="4">
        <v>46416</v>
      </c>
      <c r="E2" s="4">
        <v>46446</v>
      </c>
      <c r="F2" s="4">
        <v>46475</v>
      </c>
      <c r="G2" s="4">
        <v>46506</v>
      </c>
      <c r="H2" s="4">
        <v>46536</v>
      </c>
      <c r="I2" s="4">
        <v>46567</v>
      </c>
      <c r="J2" s="4">
        <v>46597</v>
      </c>
      <c r="K2" s="4">
        <v>46628</v>
      </c>
      <c r="L2" s="4">
        <v>46659</v>
      </c>
      <c r="M2" s="4">
        <v>46689</v>
      </c>
      <c r="N2" s="4">
        <v>46720</v>
      </c>
      <c r="O2" s="4">
        <v>46750</v>
      </c>
      <c r="P2" s="3"/>
    </row>
    <row r="3">
      <c r="A3" s="3" t="s">
        <v>1</v>
      </c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32</v>
      </c>
      <c r="P3" s="3"/>
    </row>
    <row r="4">
      <c r="A4" s="3" t="s">
        <v>39</v>
      </c>
      <c r="B4" s="3"/>
      <c r="C4" s="5"/>
      <c r="D4" s="3">
        <v>450</v>
      </c>
      <c r="E4" s="3">
        <v>460</v>
      </c>
      <c r="F4" s="3">
        <v>500</v>
      </c>
      <c r="G4" s="3">
        <v>525</v>
      </c>
      <c r="H4" s="3">
        <v>550</v>
      </c>
      <c r="I4" s="3">
        <v>550</v>
      </c>
      <c r="J4" s="3">
        <v>575</v>
      </c>
      <c r="K4" s="3">
        <v>575</v>
      </c>
      <c r="L4" s="3">
        <v>600</v>
      </c>
      <c r="M4" s="3">
        <v>575</v>
      </c>
      <c r="N4" s="3">
        <v>525</v>
      </c>
      <c r="O4" s="3">
        <v>500</v>
      </c>
      <c r="P4" s="3" t="s">
        <v>31</v>
      </c>
    </row>
    <row r="5">
      <c r="A5" s="3" t="s">
        <v>40</v>
      </c>
      <c r="B5" s="5"/>
      <c r="C5" s="10"/>
      <c r="D5" s="5">
        <f>825*D4*1.03</f>
        <v>382387.5</v>
      </c>
      <c r="E5" s="5">
        <f>825*E4*1.03</f>
        <v>390885</v>
      </c>
      <c r="F5" s="5">
        <f>825*F4*1.03</f>
        <v>424875</v>
      </c>
      <c r="G5" s="5">
        <f>825*G4*1.03</f>
        <v>446118.75</v>
      </c>
      <c r="H5" s="5">
        <f>825*H4*1.03</f>
        <v>467362.5</v>
      </c>
      <c r="I5" s="5">
        <f>825*I4*1.03</f>
        <v>467362.5</v>
      </c>
      <c r="J5" s="5">
        <f>825*J4*1.03</f>
        <v>488606.25</v>
      </c>
      <c r="K5" s="5">
        <f>825*K4*1.03</f>
        <v>488606.25</v>
      </c>
      <c r="L5" s="5">
        <f>825*L4*1.03</f>
        <v>509850</v>
      </c>
      <c r="M5" s="5">
        <f>825*M4*1.03</f>
        <v>488606.25</v>
      </c>
      <c r="N5" s="5">
        <f>825*N4*1.03</f>
        <v>446118.75</v>
      </c>
      <c r="O5" s="5">
        <f>825*O4*1.03</f>
        <v>424875</v>
      </c>
      <c r="P5" s="6">
        <f>SUM(D5:O5)</f>
        <v>5425653.75</v>
      </c>
    </row>
    <row r="6">
      <c r="A6" s="3" t="s">
        <v>49</v>
      </c>
      <c r="B6" s="3"/>
      <c r="C6" s="10"/>
      <c r="D6" s="6">
        <f>D5/D4</f>
        <v>849.75</v>
      </c>
      <c r="E6" s="6">
        <f>E5/E4</f>
        <v>849.75</v>
      </c>
      <c r="F6" s="6">
        <f>F5/F4</f>
        <v>849.75</v>
      </c>
      <c r="G6" s="6">
        <f>G5/G4</f>
        <v>849.75</v>
      </c>
      <c r="H6" s="6">
        <f>H5/H4</f>
        <v>849.75</v>
      </c>
      <c r="I6" s="6">
        <f>I5/I4</f>
        <v>849.75</v>
      </c>
      <c r="J6" s="6">
        <f>J5/J4</f>
        <v>849.75</v>
      </c>
      <c r="K6" s="6">
        <f>K5/K4</f>
        <v>849.75</v>
      </c>
      <c r="L6" s="6">
        <f>L5/L4</f>
        <v>849.75</v>
      </c>
      <c r="M6" s="6">
        <f>M5/M4</f>
        <v>849.75</v>
      </c>
      <c r="N6" s="6">
        <f>N5/N4</f>
        <v>849.75</v>
      </c>
      <c r="O6" s="6">
        <f>O5/O4</f>
        <v>849.75</v>
      </c>
      <c r="P6" s="3"/>
    </row>
    <row r="7">
      <c r="A7" s="17" t="s">
        <v>43</v>
      </c>
      <c r="B7" s="3"/>
      <c r="C7" s="3"/>
      <c r="D7" s="5">
        <v>22000</v>
      </c>
      <c r="E7" s="5">
        <v>22000</v>
      </c>
      <c r="F7" s="5">
        <v>22000</v>
      </c>
      <c r="G7" s="5">
        <v>22000</v>
      </c>
      <c r="H7" s="5">
        <v>22000</v>
      </c>
      <c r="I7" s="5">
        <v>22000</v>
      </c>
      <c r="J7" s="5">
        <v>22000</v>
      </c>
      <c r="K7" s="5">
        <v>22000</v>
      </c>
      <c r="L7" s="5">
        <v>22000</v>
      </c>
      <c r="M7" s="5">
        <v>22000</v>
      </c>
      <c r="N7" s="5">
        <v>22000</v>
      </c>
      <c r="O7" s="5">
        <v>22000</v>
      </c>
      <c r="P7" s="6">
        <f>SUM(D7:O7)</f>
        <v>264000</v>
      </c>
    </row>
    <row r="8">
      <c r="A8" s="7" t="s">
        <v>3</v>
      </c>
      <c r="B8" s="9" t="e">
        <f>B5+B6+#REF!-B7</f>
        <v>#REF!</v>
      </c>
      <c r="C8" s="42"/>
      <c r="D8" s="9">
        <f>D5-D7</f>
        <v>360387.5</v>
      </c>
      <c r="E8" s="9">
        <f>E5-E7</f>
        <v>368885</v>
      </c>
      <c r="F8" s="9">
        <f>F5-F7</f>
        <v>402875</v>
      </c>
      <c r="G8" s="9">
        <f>G5-G7</f>
        <v>424118.75</v>
      </c>
      <c r="H8" s="9">
        <f>H5-H7</f>
        <v>445362.5</v>
      </c>
      <c r="I8" s="9">
        <f>I5-I7</f>
        <v>445362.5</v>
      </c>
      <c r="J8" s="9">
        <f>J5-J7</f>
        <v>466606.25</v>
      </c>
      <c r="K8" s="9">
        <f>K5-K7</f>
        <v>466606.25</v>
      </c>
      <c r="L8" s="9">
        <f>L5-L7</f>
        <v>487850</v>
      </c>
      <c r="M8" s="9">
        <f>M5-M7</f>
        <v>466606.25</v>
      </c>
      <c r="N8" s="9">
        <f>N5-N7</f>
        <v>424118.75</v>
      </c>
      <c r="O8" s="9">
        <f>O5-O7</f>
        <v>402875</v>
      </c>
      <c r="P8" s="9">
        <f>SUM(D8:O8)</f>
        <v>5161653.75</v>
      </c>
    </row>
    <row r="9">
      <c r="A9" s="22" t="s">
        <v>48</v>
      </c>
      <c r="B9" s="6">
        <f>B5*25%</f>
        <v>0</v>
      </c>
      <c r="C9" s="27">
        <v>0.28</v>
      </c>
      <c r="D9" s="6">
        <f>D5*28%</f>
        <v>107068.50000000001</v>
      </c>
      <c r="E9" s="6">
        <f>E5*28%</f>
        <v>109447.80000000002</v>
      </c>
      <c r="F9" s="6">
        <f>F5*28%</f>
        <v>118965.00000000001</v>
      </c>
      <c r="G9" s="6">
        <f>G5*28%</f>
        <v>124913.25000000001</v>
      </c>
      <c r="H9" s="6">
        <f>H5*28%</f>
        <v>130861.50000000001</v>
      </c>
      <c r="I9" s="6">
        <f>I5*28%</f>
        <v>130861.50000000001</v>
      </c>
      <c r="J9" s="6">
        <f>J5*28%</f>
        <v>136809.75</v>
      </c>
      <c r="K9" s="6">
        <f>K5*28%</f>
        <v>136809.75</v>
      </c>
      <c r="L9" s="6">
        <f>L5*28%</f>
        <v>142758</v>
      </c>
      <c r="M9" s="6">
        <f>M5*28%</f>
        <v>136809.75</v>
      </c>
      <c r="N9" s="6">
        <f>N5*28%</f>
        <v>124913.25000000001</v>
      </c>
      <c r="O9" s="6">
        <f>O5*28%</f>
        <v>118965.00000000001</v>
      </c>
      <c r="P9" s="6">
        <f>SUM(D9:O9)</f>
        <v>1519183.05</v>
      </c>
    </row>
    <row r="10">
      <c r="A10" s="7" t="s">
        <v>4</v>
      </c>
      <c r="B10" s="8">
        <f>B9</f>
        <v>0</v>
      </c>
      <c r="C10" s="8"/>
      <c r="D10" s="8">
        <f>D9</f>
        <v>107068.50000000001</v>
      </c>
      <c r="E10" s="8">
        <f>E9</f>
        <v>109447.80000000002</v>
      </c>
      <c r="F10" s="8">
        <f>F9</f>
        <v>118965.00000000001</v>
      </c>
      <c r="G10" s="8">
        <f>G9</f>
        <v>124913.25000000001</v>
      </c>
      <c r="H10" s="8">
        <f>H9</f>
        <v>130861.50000000001</v>
      </c>
      <c r="I10" s="8">
        <f>I9</f>
        <v>130861.50000000001</v>
      </c>
      <c r="J10" s="8">
        <f>J9</f>
        <v>136809.75</v>
      </c>
      <c r="K10" s="8">
        <f>K9</f>
        <v>136809.75</v>
      </c>
      <c r="L10" s="8">
        <f>L9</f>
        <v>142758</v>
      </c>
      <c r="M10" s="8">
        <f>M9</f>
        <v>136809.75</v>
      </c>
      <c r="N10" s="8">
        <f>N9</f>
        <v>124913.25000000001</v>
      </c>
      <c r="O10" s="8">
        <f>O9</f>
        <v>118965.00000000001</v>
      </c>
      <c r="P10" s="8">
        <f>P9</f>
        <v>1519183.05</v>
      </c>
    </row>
    <row r="11">
      <c r="A11" s="7" t="s">
        <v>46</v>
      </c>
      <c r="B11" s="8" t="e">
        <f>B8-B10</f>
        <v>#REF!</v>
      </c>
      <c r="C11" s="8"/>
      <c r="D11" s="8">
        <f>D8-D10</f>
        <v>253319</v>
      </c>
      <c r="E11" s="8">
        <f>E8-E10</f>
        <v>259437.19999999998</v>
      </c>
      <c r="F11" s="8">
        <f>F8-F10</f>
        <v>283910</v>
      </c>
      <c r="G11" s="8">
        <f>G8-G10</f>
        <v>299205.5</v>
      </c>
      <c r="H11" s="8">
        <f>H8-H10</f>
        <v>314501</v>
      </c>
      <c r="I11" s="8">
        <f>I8-I10</f>
        <v>314501</v>
      </c>
      <c r="J11" s="8">
        <f>J8-J10</f>
        <v>329796.5</v>
      </c>
      <c r="K11" s="8">
        <f>K8-K10</f>
        <v>329796.5</v>
      </c>
      <c r="L11" s="8">
        <f>L8-L10</f>
        <v>345092</v>
      </c>
      <c r="M11" s="8">
        <f>M8-M10</f>
        <v>329796.5</v>
      </c>
      <c r="N11" s="8">
        <f>N8-N10</f>
        <v>299205.5</v>
      </c>
      <c r="O11" s="8">
        <f>O8-O10</f>
        <v>283910</v>
      </c>
      <c r="P11" s="8">
        <f>SUM(D11:O11)</f>
        <v>3642470.7</v>
      </c>
    </row>
    <row r="12">
      <c r="A12" s="28" t="s">
        <v>5</v>
      </c>
      <c r="B12" s="3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6"/>
    </row>
    <row r="13">
      <c r="A13" s="3" t="s">
        <v>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>
      <c r="A14" s="23" t="s">
        <v>7</v>
      </c>
      <c r="B14" s="5"/>
      <c r="C14" s="5"/>
      <c r="D14" s="5">
        <v>7700</v>
      </c>
      <c r="E14" s="5">
        <v>7700</v>
      </c>
      <c r="F14" s="5">
        <v>7700</v>
      </c>
      <c r="G14" s="5">
        <v>7700</v>
      </c>
      <c r="H14" s="5">
        <v>7700</v>
      </c>
      <c r="I14" s="5">
        <v>7700</v>
      </c>
      <c r="J14" s="5">
        <v>7700</v>
      </c>
      <c r="K14" s="5">
        <v>7700</v>
      </c>
      <c r="L14" s="5">
        <v>7700</v>
      </c>
      <c r="M14" s="5">
        <v>7700</v>
      </c>
      <c r="N14" s="5">
        <v>7700</v>
      </c>
      <c r="O14" s="5">
        <v>7700</v>
      </c>
      <c r="P14" s="5">
        <f>SUM(D14:O14)</f>
        <v>92400</v>
      </c>
    </row>
    <row r="15">
      <c r="A15" s="23" t="s">
        <v>41</v>
      </c>
      <c r="B15" s="5"/>
      <c r="C15" s="5"/>
      <c r="D15" s="5">
        <v>2750</v>
      </c>
      <c r="E15" s="5">
        <v>2750</v>
      </c>
      <c r="F15" s="5">
        <v>3000</v>
      </c>
      <c r="G15" s="5">
        <v>3000</v>
      </c>
      <c r="H15" s="5">
        <v>3000</v>
      </c>
      <c r="I15" s="5">
        <v>3000</v>
      </c>
      <c r="J15" s="5">
        <v>3000</v>
      </c>
      <c r="K15" s="5">
        <v>3000</v>
      </c>
      <c r="L15" s="5">
        <v>3000</v>
      </c>
      <c r="M15" s="5">
        <v>3000</v>
      </c>
      <c r="N15" s="5">
        <v>3000</v>
      </c>
      <c r="O15" s="5">
        <v>3000</v>
      </c>
      <c r="P15" s="5">
        <f>SUM(D15:O15)</f>
        <v>35500</v>
      </c>
    </row>
    <row r="16">
      <c r="A16" s="23" t="s">
        <v>42</v>
      </c>
      <c r="B16" s="5"/>
      <c r="C16" s="5"/>
      <c r="D16" s="5">
        <v>600</v>
      </c>
      <c r="E16" s="5">
        <v>600</v>
      </c>
      <c r="F16" s="5">
        <v>600</v>
      </c>
      <c r="G16" s="5">
        <v>600</v>
      </c>
      <c r="H16" s="5">
        <v>600</v>
      </c>
      <c r="I16" s="5">
        <v>600</v>
      </c>
      <c r="J16" s="5">
        <v>600</v>
      </c>
      <c r="K16" s="5">
        <v>600</v>
      </c>
      <c r="L16" s="5">
        <v>600</v>
      </c>
      <c r="M16" s="5">
        <v>600</v>
      </c>
      <c r="N16" s="5">
        <v>600</v>
      </c>
      <c r="O16" s="5">
        <v>600</v>
      </c>
      <c r="P16" s="5">
        <f>SUM(D16:O16)</f>
        <v>7200</v>
      </c>
    </row>
    <row r="17">
      <c r="A17" s="24" t="s">
        <v>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5"/>
    </row>
    <row r="18">
      <c r="A18" s="3" t="s">
        <v>9</v>
      </c>
      <c r="B18" s="5"/>
      <c r="C18" s="5"/>
      <c r="D18" s="5">
        <v>7560</v>
      </c>
      <c r="E18" s="5">
        <v>7560</v>
      </c>
      <c r="F18" s="5">
        <v>7560</v>
      </c>
      <c r="G18" s="5">
        <v>7560</v>
      </c>
      <c r="H18" s="5">
        <v>7560</v>
      </c>
      <c r="I18" s="5">
        <v>7560</v>
      </c>
      <c r="J18" s="5">
        <v>7560</v>
      </c>
      <c r="K18" s="5">
        <v>7560</v>
      </c>
      <c r="L18" s="5">
        <v>7560</v>
      </c>
      <c r="M18" s="5">
        <v>7560</v>
      </c>
      <c r="N18" s="5">
        <v>7560</v>
      </c>
      <c r="O18" s="5">
        <v>7560</v>
      </c>
      <c r="P18" s="5">
        <f>SUM(D18:O18)</f>
        <v>90720</v>
      </c>
    </row>
    <row r="19">
      <c r="A19" s="22" t="s">
        <v>10</v>
      </c>
      <c r="B19" s="5"/>
      <c r="C19" s="5"/>
      <c r="D19" s="5">
        <v>690</v>
      </c>
      <c r="E19" s="5">
        <v>690</v>
      </c>
      <c r="F19" s="5">
        <v>690</v>
      </c>
      <c r="G19" s="5">
        <v>690</v>
      </c>
      <c r="H19" s="5">
        <v>690</v>
      </c>
      <c r="I19" s="5">
        <v>690</v>
      </c>
      <c r="J19" s="5">
        <v>690</v>
      </c>
      <c r="K19" s="5">
        <v>690</v>
      </c>
      <c r="L19" s="5">
        <v>690</v>
      </c>
      <c r="M19" s="5">
        <v>690</v>
      </c>
      <c r="N19" s="5">
        <v>690</v>
      </c>
      <c r="O19" s="5">
        <v>690</v>
      </c>
      <c r="P19" s="5">
        <f>SUM(D19:O19)</f>
        <v>8280</v>
      </c>
    </row>
    <row r="20">
      <c r="A20" s="24" t="s">
        <v>11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5"/>
    </row>
    <row r="21">
      <c r="A21" s="3" t="s">
        <v>12</v>
      </c>
      <c r="B21" s="5"/>
      <c r="C21" s="5"/>
      <c r="D21" s="5">
        <v>3700</v>
      </c>
      <c r="E21" s="5">
        <v>3700</v>
      </c>
      <c r="F21" s="5">
        <v>3700</v>
      </c>
      <c r="G21" s="5">
        <v>3700</v>
      </c>
      <c r="H21" s="5">
        <v>3700</v>
      </c>
      <c r="I21" s="5">
        <v>3700</v>
      </c>
      <c r="J21" s="5">
        <v>3700</v>
      </c>
      <c r="K21" s="5">
        <v>3700</v>
      </c>
      <c r="L21" s="5">
        <v>3700</v>
      </c>
      <c r="M21" s="5">
        <v>3700</v>
      </c>
      <c r="N21" s="5">
        <v>3700</v>
      </c>
      <c r="O21" s="5">
        <v>3700</v>
      </c>
      <c r="P21" s="5">
        <f>SUM(D21:O21)</f>
        <v>44400</v>
      </c>
    </row>
    <row r="22">
      <c r="A22" s="3" t="s">
        <v>13</v>
      </c>
      <c r="B22" s="5"/>
      <c r="C22" s="5"/>
      <c r="D22" s="5">
        <v>4000</v>
      </c>
      <c r="E22" s="5">
        <v>4000</v>
      </c>
      <c r="F22" s="5">
        <v>4000</v>
      </c>
      <c r="G22" s="5">
        <v>4000</v>
      </c>
      <c r="H22" s="5">
        <v>4000</v>
      </c>
      <c r="I22" s="5">
        <v>4000</v>
      </c>
      <c r="J22" s="5">
        <v>4000</v>
      </c>
      <c r="K22" s="5">
        <v>4000</v>
      </c>
      <c r="L22" s="5">
        <v>4000</v>
      </c>
      <c r="M22" s="5">
        <v>4000</v>
      </c>
      <c r="N22" s="5">
        <v>4000</v>
      </c>
      <c r="O22" s="5">
        <v>4000</v>
      </c>
      <c r="P22" s="5">
        <f>SUM(D22:O22)</f>
        <v>48000</v>
      </c>
    </row>
    <row r="23">
      <c r="A23" s="3" t="s">
        <v>14</v>
      </c>
      <c r="B23" s="5"/>
      <c r="C23" s="5"/>
      <c r="D23" s="5">
        <v>125</v>
      </c>
      <c r="E23" s="5">
        <v>125</v>
      </c>
      <c r="F23" s="5">
        <v>125</v>
      </c>
      <c r="G23" s="5">
        <v>125</v>
      </c>
      <c r="H23" s="5">
        <v>125</v>
      </c>
      <c r="I23" s="5">
        <v>125</v>
      </c>
      <c r="J23" s="5">
        <v>125</v>
      </c>
      <c r="K23" s="5">
        <v>125</v>
      </c>
      <c r="L23" s="5">
        <v>125</v>
      </c>
      <c r="M23" s="5">
        <v>125</v>
      </c>
      <c r="N23" s="5">
        <v>125</v>
      </c>
      <c r="O23" s="5">
        <v>125</v>
      </c>
      <c r="P23" s="5">
        <f>SUM(D23:O23)</f>
        <v>1500</v>
      </c>
    </row>
    <row r="24">
      <c r="A24" s="21" t="s">
        <v>51</v>
      </c>
      <c r="B24" s="5"/>
      <c r="C24" s="5"/>
      <c r="D24" s="5">
        <f>D5*0.065</f>
        <v>24855.1875</v>
      </c>
      <c r="E24" s="5">
        <f>E5*0.065</f>
        <v>25407.525</v>
      </c>
      <c r="F24" s="5">
        <f>F5*0.065</f>
        <v>27616.875</v>
      </c>
      <c r="G24" s="5">
        <f>G5*0.065</f>
        <v>28997.71875</v>
      </c>
      <c r="H24" s="5">
        <f>H5*0.065</f>
        <v>30378.5625</v>
      </c>
      <c r="I24" s="5">
        <f>I5*0.065</f>
        <v>30378.5625</v>
      </c>
      <c r="J24" s="5">
        <f>J5*0.065</f>
        <v>31759.40625</v>
      </c>
      <c r="K24" s="5">
        <f>K5*0.065</f>
        <v>31759.40625</v>
      </c>
      <c r="L24" s="5">
        <f>L5*0.065</f>
        <v>33140.25</v>
      </c>
      <c r="M24" s="5">
        <f>M5*0.065</f>
        <v>31759.40625</v>
      </c>
      <c r="N24" s="5">
        <f>N5*0.065</f>
        <v>28997.71875</v>
      </c>
      <c r="O24" s="5">
        <f>O5*0.065</f>
        <v>27616.875</v>
      </c>
      <c r="P24" s="5">
        <f>SUM(D24:O24)</f>
        <v>352667.49375</v>
      </c>
    </row>
    <row r="25">
      <c r="A25" s="40" t="s">
        <v>68</v>
      </c>
      <c r="B25" s="5"/>
      <c r="C25" s="5"/>
      <c r="D25" s="5">
        <v>11000</v>
      </c>
      <c r="E25" s="5">
        <v>11000</v>
      </c>
      <c r="F25" s="5">
        <v>11000</v>
      </c>
      <c r="G25" s="5">
        <v>11000</v>
      </c>
      <c r="H25" s="5">
        <v>11000</v>
      </c>
      <c r="I25" s="5">
        <v>11000</v>
      </c>
      <c r="J25" s="5">
        <v>11000</v>
      </c>
      <c r="K25" s="5">
        <v>11000</v>
      </c>
      <c r="L25" s="5">
        <v>11000</v>
      </c>
      <c r="M25" s="5">
        <v>11000</v>
      </c>
      <c r="N25" s="5">
        <v>11000</v>
      </c>
      <c r="O25" s="5">
        <v>11000</v>
      </c>
      <c r="P25" s="5">
        <f>SUM(D25:O25)</f>
        <v>132000</v>
      </c>
    </row>
    <row r="26">
      <c r="A26" s="3" t="s">
        <v>15</v>
      </c>
      <c r="B26" s="5"/>
      <c r="C26" s="5"/>
      <c r="D26" s="5">
        <v>27500</v>
      </c>
      <c r="E26" s="5">
        <v>27500</v>
      </c>
      <c r="F26" s="5">
        <v>27500</v>
      </c>
      <c r="G26" s="5">
        <v>27500</v>
      </c>
      <c r="H26" s="5">
        <v>27500</v>
      </c>
      <c r="I26" s="5">
        <v>27500</v>
      </c>
      <c r="J26" s="5">
        <v>27500</v>
      </c>
      <c r="K26" s="5">
        <v>27500</v>
      </c>
      <c r="L26" s="5">
        <v>27500</v>
      </c>
      <c r="M26" s="5">
        <v>27500</v>
      </c>
      <c r="N26" s="5">
        <v>27500</v>
      </c>
      <c r="O26" s="5">
        <v>27500</v>
      </c>
      <c r="P26" s="5">
        <f>SUM(D26:O26)</f>
        <v>330000</v>
      </c>
    </row>
    <row r="27">
      <c r="A27" s="3" t="s">
        <v>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>SUM(D27:O27)</f>
        <v>0</v>
      </c>
    </row>
    <row r="28">
      <c r="A28" s="24" t="s">
        <v>17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5"/>
    </row>
    <row r="29">
      <c r="A29" s="3" t="s">
        <v>18</v>
      </c>
      <c r="B29" s="5"/>
      <c r="C29" s="5"/>
      <c r="D29" s="5">
        <f>4501*1.03*1.03</f>
        <v>4775.1109</v>
      </c>
      <c r="E29" s="5">
        <f>4501*1.03*1.03</f>
        <v>4775.1109</v>
      </c>
      <c r="F29" s="5">
        <f>4501*1.03*1.03</f>
        <v>4775.1109</v>
      </c>
      <c r="G29" s="5">
        <f>4501*1.03*1.03</f>
        <v>4775.1109</v>
      </c>
      <c r="H29" s="5">
        <f>4501*1.03*1.03</f>
        <v>4775.1109</v>
      </c>
      <c r="I29" s="5">
        <f>4501*1.03*1.03</f>
        <v>4775.1109</v>
      </c>
      <c r="J29" s="5">
        <f>4501*1.03*1.03</f>
        <v>4775.1109</v>
      </c>
      <c r="K29" s="5">
        <f>4501*1.03*1.03</f>
        <v>4775.1109</v>
      </c>
      <c r="L29" s="5">
        <f>4501*1.03*1.03</f>
        <v>4775.1109</v>
      </c>
      <c r="M29" s="5">
        <f>4501*1.03*1.03</f>
        <v>4775.1109</v>
      </c>
      <c r="N29" s="5">
        <f>4501*1.03*1.03</f>
        <v>4775.1109</v>
      </c>
      <c r="O29" s="5">
        <f>4501*1.03*1.03</f>
        <v>4775.1109</v>
      </c>
      <c r="P29" s="5">
        <f>SUM(D29:O29)</f>
        <v>57301.330799999996</v>
      </c>
    </row>
    <row r="30">
      <c r="A30" s="3" t="s">
        <v>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>SUM(D30:O30)</f>
        <v>0</v>
      </c>
    </row>
    <row r="31">
      <c r="A31" s="3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>SUM(D31:O31)</f>
        <v>0</v>
      </c>
    </row>
    <row r="32">
      <c r="A32" s="24" t="s">
        <v>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5"/>
    </row>
    <row r="33">
      <c r="A33" s="3" t="s">
        <v>50</v>
      </c>
      <c r="B33" s="5"/>
      <c r="C33" s="5"/>
      <c r="D33" s="5">
        <v>650</v>
      </c>
      <c r="E33" s="5">
        <v>650</v>
      </c>
      <c r="F33" s="5">
        <v>650</v>
      </c>
      <c r="G33" s="5">
        <v>650</v>
      </c>
      <c r="H33" s="5">
        <v>650</v>
      </c>
      <c r="I33" s="5">
        <v>650</v>
      </c>
      <c r="J33" s="5">
        <v>650</v>
      </c>
      <c r="K33" s="5">
        <v>650</v>
      </c>
      <c r="L33" s="5">
        <v>650</v>
      </c>
      <c r="M33" s="5">
        <v>650</v>
      </c>
      <c r="N33" s="5">
        <v>650</v>
      </c>
      <c r="O33" s="5">
        <v>650</v>
      </c>
      <c r="P33" s="5">
        <f>SUM(D33:O33)</f>
        <v>7800</v>
      </c>
    </row>
    <row r="34">
      <c r="A34" s="3" t="s">
        <v>44</v>
      </c>
      <c r="B34" s="5"/>
      <c r="C34" s="5"/>
      <c r="D34" s="5">
        <v>550</v>
      </c>
      <c r="E34" s="5">
        <v>550</v>
      </c>
      <c r="F34" s="5">
        <v>550</v>
      </c>
      <c r="G34" s="5">
        <v>550</v>
      </c>
      <c r="H34" s="5">
        <v>550</v>
      </c>
      <c r="I34" s="5">
        <v>550</v>
      </c>
      <c r="J34" s="5">
        <v>550</v>
      </c>
      <c r="K34" s="5">
        <v>550</v>
      </c>
      <c r="L34" s="5">
        <v>550</v>
      </c>
      <c r="M34" s="5">
        <v>550</v>
      </c>
      <c r="N34" s="5">
        <v>550</v>
      </c>
      <c r="O34" s="5">
        <v>550</v>
      </c>
      <c r="P34" s="5">
        <f>SUM(D34:O34)</f>
        <v>6600</v>
      </c>
    </row>
    <row r="35">
      <c r="A35" s="3" t="s">
        <v>22</v>
      </c>
      <c r="B35" s="5"/>
      <c r="C35" s="5"/>
      <c r="D35" s="5">
        <v>1560</v>
      </c>
      <c r="E35" s="5">
        <v>1560</v>
      </c>
      <c r="F35" s="5">
        <v>1560</v>
      </c>
      <c r="G35" s="5">
        <v>1560</v>
      </c>
      <c r="H35" s="5">
        <v>1560</v>
      </c>
      <c r="I35" s="5">
        <v>1560</v>
      </c>
      <c r="J35" s="5">
        <v>1560</v>
      </c>
      <c r="K35" s="5">
        <v>1560</v>
      </c>
      <c r="L35" s="5">
        <v>1560</v>
      </c>
      <c r="M35" s="5">
        <v>1560</v>
      </c>
      <c r="N35" s="5">
        <v>1560</v>
      </c>
      <c r="O35" s="5">
        <v>1560</v>
      </c>
      <c r="P35" s="5">
        <f>SUM(D35:O35)</f>
        <v>18720</v>
      </c>
    </row>
    <row r="36">
      <c r="A36" s="24" t="s">
        <v>23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5"/>
    </row>
    <row r="37">
      <c r="A37" s="3" t="s">
        <v>24</v>
      </c>
      <c r="B37" s="5"/>
      <c r="C37" s="5"/>
      <c r="D37" s="5">
        <f>D38*0.085</f>
        <v>12652.25</v>
      </c>
      <c r="E37" s="5">
        <f>E38*0.085</f>
        <v>12652.25</v>
      </c>
      <c r="F37" s="5">
        <f>F38*0.085</f>
        <v>12652.25</v>
      </c>
      <c r="G37" s="5">
        <f>G38*0.082</f>
        <v>12205.7</v>
      </c>
      <c r="H37" s="5">
        <f>H38*0.082</f>
        <v>12205.7</v>
      </c>
      <c r="I37" s="5">
        <f>I38*0.082</f>
        <v>12205.7</v>
      </c>
      <c r="J37" s="5">
        <f>J38*0.08108</f>
        <v>12068.758</v>
      </c>
      <c r="K37" s="5">
        <f>K38*0.08108</f>
        <v>12068.758</v>
      </c>
      <c r="L37" s="5">
        <f>L38*0.08108</f>
        <v>12068.758</v>
      </c>
      <c r="M37" s="5">
        <f>M38*0.08108</f>
        <v>12068.758</v>
      </c>
      <c r="N37" s="5">
        <f>N38*0.08108</f>
        <v>12068.758</v>
      </c>
      <c r="O37" s="5">
        <f>O38*0.08108</f>
        <v>12068.758</v>
      </c>
      <c r="P37" s="5">
        <f>SUM(D37:O37)</f>
        <v>146986.398</v>
      </c>
    </row>
    <row r="38">
      <c r="A38" s="3" t="s">
        <v>25</v>
      </c>
      <c r="B38" s="5"/>
      <c r="C38" s="5"/>
      <c r="D38" s="5">
        <v>148850</v>
      </c>
      <c r="E38" s="5">
        <v>148850</v>
      </c>
      <c r="F38" s="5">
        <v>148850</v>
      </c>
      <c r="G38" s="5">
        <v>148850</v>
      </c>
      <c r="H38" s="5">
        <v>148850</v>
      </c>
      <c r="I38" s="5">
        <v>148850</v>
      </c>
      <c r="J38" s="5">
        <v>148850</v>
      </c>
      <c r="K38" s="5">
        <v>148850</v>
      </c>
      <c r="L38" s="5">
        <v>148850</v>
      </c>
      <c r="M38" s="5">
        <v>148850</v>
      </c>
      <c r="N38" s="5">
        <v>148850</v>
      </c>
      <c r="O38" s="5">
        <v>148850</v>
      </c>
      <c r="P38" s="5">
        <f>SUM(D38:O38)</f>
        <v>1786200</v>
      </c>
    </row>
    <row r="39">
      <c r="A39" s="24" t="s">
        <v>26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5"/>
    </row>
    <row r="40">
      <c r="A40" s="3" t="s">
        <v>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>SUM(D40:O40)</f>
        <v>0</v>
      </c>
    </row>
    <row r="41">
      <c r="A41" s="3" t="s">
        <v>27</v>
      </c>
      <c r="B41" s="5"/>
      <c r="C41" s="10"/>
      <c r="D41" s="5">
        <v>2750</v>
      </c>
      <c r="E41" s="5">
        <v>2750</v>
      </c>
      <c r="F41" s="5">
        <v>2750</v>
      </c>
      <c r="G41" s="5">
        <v>2750</v>
      </c>
      <c r="H41" s="5">
        <v>2750</v>
      </c>
      <c r="I41" s="5">
        <v>2750</v>
      </c>
      <c r="J41" s="5">
        <v>2750</v>
      </c>
      <c r="K41" s="5">
        <v>2750</v>
      </c>
      <c r="L41" s="5">
        <v>2750</v>
      </c>
      <c r="M41" s="5">
        <v>2750</v>
      </c>
      <c r="N41" s="5">
        <v>2750</v>
      </c>
      <c r="O41" s="5">
        <v>2750</v>
      </c>
      <c r="P41" s="5">
        <f>SUM(D41:O41)</f>
        <v>33000</v>
      </c>
    </row>
    <row r="42">
      <c r="A42" s="3" t="s">
        <v>28</v>
      </c>
      <c r="B42" s="5"/>
      <c r="C42" s="1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3"/>
    </row>
    <row r="43">
      <c r="A43" s="3" t="s">
        <v>29</v>
      </c>
      <c r="B43" s="8">
        <f>SUM(B13:B42)</f>
        <v>0</v>
      </c>
      <c r="C43" s="10"/>
      <c r="D43" s="8">
        <f>SUM(D13:D42)</f>
        <v>262267.54839999997</v>
      </c>
      <c r="E43" s="8">
        <f>SUM(E13:E42)</f>
        <v>262819.8859</v>
      </c>
      <c r="F43" s="8">
        <f>SUM(F13:F42)</f>
        <v>265279.23589999997</v>
      </c>
      <c r="G43" s="8">
        <f>SUM(G13:G42)</f>
        <v>266213.52965</v>
      </c>
      <c r="H43" s="8">
        <f>SUM(H13:H42)</f>
        <v>267594.3734</v>
      </c>
      <c r="I43" s="8">
        <f>SUM(I13:I42)</f>
        <v>267594.3734</v>
      </c>
      <c r="J43" s="8">
        <f>SUM(J13:J42)</f>
        <v>268838.27515</v>
      </c>
      <c r="K43" s="8">
        <f>SUM(K13:K42)</f>
        <v>268838.27515</v>
      </c>
      <c r="L43" s="8">
        <f>SUM(L13:L42)</f>
        <v>270219.1189</v>
      </c>
      <c r="M43" s="8">
        <f>SUM(M13:M42)</f>
        <v>268838.27515</v>
      </c>
      <c r="N43" s="8">
        <f>SUM(N13:N42)</f>
        <v>266076.58765</v>
      </c>
      <c r="O43" s="8">
        <f>SUM(O13:O42)</f>
        <v>264695.7439</v>
      </c>
      <c r="P43" s="9">
        <f>SUM(D43:O43)</f>
        <v>3199275.2225500005</v>
      </c>
      <c r="Q43" s="18"/>
    </row>
    <row r="44">
      <c r="A44" s="23" t="s">
        <v>47</v>
      </c>
      <c r="B44" s="5"/>
      <c r="C44" s="11"/>
      <c r="D44" s="5">
        <f>D11-D43</f>
        <v>-8948.54839999997</v>
      </c>
      <c r="E44" s="5">
        <f>E11-E43</f>
        <v>-3382.6859000000113</v>
      </c>
      <c r="F44" s="5">
        <f>F11-F43</f>
        <v>18630.76410000003</v>
      </c>
      <c r="G44" s="5">
        <f>G11-G43</f>
        <v>32991.97035000002</v>
      </c>
      <c r="H44" s="5">
        <f>H11-H43</f>
        <v>46906.62660000002</v>
      </c>
      <c r="I44" s="5">
        <f>I11-I43</f>
        <v>46906.62660000002</v>
      </c>
      <c r="J44" s="5">
        <f>J11-J43</f>
        <v>60958.22485</v>
      </c>
      <c r="K44" s="5">
        <f>K11-K43</f>
        <v>60958.22485</v>
      </c>
      <c r="L44" s="5">
        <f>L11-L43</f>
        <v>74872.8811</v>
      </c>
      <c r="M44" s="5">
        <f>M11-M43</f>
        <v>60958.22485</v>
      </c>
      <c r="N44" s="5">
        <f>N11-N43</f>
        <v>33128.91235</v>
      </c>
      <c r="O44" s="5">
        <f>O11-O43</f>
        <v>19214.2561</v>
      </c>
      <c r="P44" s="6">
        <f>SUM(D44:O44)</f>
        <v>443195.4774500001</v>
      </c>
      <c r="Q44" s="18"/>
    </row>
    <row r="45">
      <c r="A45" s="3"/>
      <c r="B45" s="5"/>
      <c r="C45" s="1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/>
    </row>
    <row r="46">
      <c r="A46" s="3" t="s">
        <v>33</v>
      </c>
      <c r="B46" s="5"/>
      <c r="C46" s="10"/>
      <c r="D46" s="5">
        <v>2268</v>
      </c>
      <c r="E46" s="5">
        <v>2268</v>
      </c>
      <c r="F46" s="5">
        <v>2268</v>
      </c>
      <c r="G46" s="5">
        <v>2268</v>
      </c>
      <c r="H46" s="5">
        <v>2268</v>
      </c>
      <c r="I46" s="5">
        <v>2268</v>
      </c>
      <c r="J46" s="5">
        <v>2268</v>
      </c>
      <c r="K46" s="5">
        <v>2268</v>
      </c>
      <c r="L46" s="5">
        <v>2268</v>
      </c>
      <c r="M46" s="5">
        <v>2268</v>
      </c>
      <c r="N46" s="5">
        <v>2268</v>
      </c>
      <c r="O46" s="5">
        <v>2268</v>
      </c>
      <c r="P46" s="6">
        <f>SUM(D46:O46)</f>
        <v>27216</v>
      </c>
    </row>
    <row r="47">
      <c r="A47" t="s">
        <v>52</v>
      </c>
      <c r="B47" s="31">
        <v>820</v>
      </c>
      <c r="D47" s="31">
        <v>820</v>
      </c>
      <c r="E47" s="31">
        <v>820</v>
      </c>
      <c r="F47" s="31">
        <v>820</v>
      </c>
      <c r="G47" s="31">
        <v>820</v>
      </c>
      <c r="H47" s="31">
        <v>820</v>
      </c>
      <c r="I47" s="31">
        <v>820</v>
      </c>
      <c r="J47" s="31">
        <v>820</v>
      </c>
      <c r="K47" s="31">
        <v>820</v>
      </c>
      <c r="L47" s="31">
        <v>820</v>
      </c>
      <c r="M47" s="31">
        <v>820</v>
      </c>
      <c r="N47" s="31">
        <v>820</v>
      </c>
      <c r="O47" s="31">
        <v>820</v>
      </c>
      <c r="P47" s="6">
        <f>SUM(D47:O47)</f>
        <v>9840</v>
      </c>
    </row>
    <row r="48">
      <c r="A48" t="s">
        <v>53</v>
      </c>
      <c r="B48" s="31">
        <v>580</v>
      </c>
      <c r="D48" s="31">
        <v>580</v>
      </c>
      <c r="E48" s="31">
        <v>580</v>
      </c>
      <c r="F48" s="31">
        <v>580</v>
      </c>
      <c r="G48" s="31">
        <v>580</v>
      </c>
      <c r="H48" s="31">
        <v>580</v>
      </c>
      <c r="I48" s="31">
        <v>580</v>
      </c>
      <c r="J48" s="31">
        <v>580</v>
      </c>
      <c r="K48" s="31">
        <v>580</v>
      </c>
      <c r="L48" s="31">
        <v>580</v>
      </c>
      <c r="M48" s="31">
        <v>580</v>
      </c>
      <c r="N48" s="31">
        <v>580</v>
      </c>
      <c r="O48" s="31">
        <v>580</v>
      </c>
      <c r="P48" s="6">
        <f>SUM(D48:O48)</f>
        <v>6960</v>
      </c>
    </row>
    <row r="49">
      <c r="A49" t="s">
        <v>54</v>
      </c>
      <c r="B49" s="31">
        <v>600</v>
      </c>
      <c r="D49" s="31">
        <v>600</v>
      </c>
      <c r="E49" s="31">
        <v>600</v>
      </c>
      <c r="F49" s="31">
        <v>600</v>
      </c>
      <c r="G49" s="31">
        <v>600</v>
      </c>
      <c r="H49" s="31">
        <v>600</v>
      </c>
      <c r="I49" s="31">
        <v>600</v>
      </c>
      <c r="J49" s="31">
        <v>600</v>
      </c>
      <c r="K49" s="31">
        <v>600</v>
      </c>
      <c r="L49" s="31">
        <v>600</v>
      </c>
      <c r="M49" s="31">
        <v>600</v>
      </c>
      <c r="N49" s="31">
        <v>600</v>
      </c>
      <c r="O49" s="31">
        <v>600</v>
      </c>
      <c r="P49" s="6">
        <f>SUM(D49:O49)</f>
        <v>7200</v>
      </c>
    </row>
    <row r="50">
      <c r="A50" t="s">
        <v>55</v>
      </c>
      <c r="B50" s="31">
        <v>2400</v>
      </c>
      <c r="D50" s="31">
        <v>2400</v>
      </c>
      <c r="E50" s="31">
        <v>2400</v>
      </c>
      <c r="F50" s="31">
        <v>2400</v>
      </c>
      <c r="G50" s="31">
        <v>2400</v>
      </c>
      <c r="H50" s="31">
        <v>2400</v>
      </c>
      <c r="I50" s="31">
        <v>2400</v>
      </c>
      <c r="J50" s="31">
        <v>2400</v>
      </c>
      <c r="K50" s="31">
        <v>2400</v>
      </c>
      <c r="L50" s="31">
        <v>2400</v>
      </c>
      <c r="M50" s="31">
        <v>2400</v>
      </c>
      <c r="N50" s="31">
        <v>2400</v>
      </c>
      <c r="O50" s="31">
        <v>2400</v>
      </c>
      <c r="P50" s="6">
        <f>SUM(D50:O50)</f>
        <v>28800</v>
      </c>
    </row>
    <row r="51">
      <c r="A51" t="s">
        <v>56</v>
      </c>
      <c r="B51" s="31">
        <v>1500</v>
      </c>
      <c r="D51" s="31">
        <v>1500</v>
      </c>
      <c r="E51" s="31">
        <v>1500</v>
      </c>
      <c r="F51" s="31">
        <v>1500</v>
      </c>
      <c r="G51" s="31">
        <v>1500</v>
      </c>
      <c r="H51" s="31">
        <v>1500</v>
      </c>
      <c r="I51" s="31">
        <v>1500</v>
      </c>
      <c r="J51" s="31">
        <v>1500</v>
      </c>
      <c r="K51" s="31">
        <v>1500</v>
      </c>
      <c r="L51" s="31">
        <v>1500</v>
      </c>
      <c r="M51" s="31">
        <v>1500</v>
      </c>
      <c r="N51" s="31">
        <v>1500</v>
      </c>
      <c r="O51" s="31">
        <v>1500</v>
      </c>
      <c r="P51" s="6">
        <f>SUM(D51:O51)</f>
        <v>18000</v>
      </c>
    </row>
    <row r="52">
      <c r="A52" t="s">
        <v>57</v>
      </c>
      <c r="B52" s="33">
        <v>1809</v>
      </c>
      <c r="D52" s="33">
        <v>1809</v>
      </c>
      <c r="E52" s="33">
        <v>1809</v>
      </c>
      <c r="F52" s="33">
        <v>1809</v>
      </c>
      <c r="G52" s="33">
        <v>1809</v>
      </c>
      <c r="H52" s="33">
        <v>1809</v>
      </c>
      <c r="I52" s="33">
        <v>1809</v>
      </c>
      <c r="J52" s="33">
        <v>1809</v>
      </c>
      <c r="K52" s="33">
        <v>1809</v>
      </c>
      <c r="L52" s="33">
        <v>1809</v>
      </c>
      <c r="M52" s="33">
        <v>1809</v>
      </c>
      <c r="N52" s="33">
        <v>1809</v>
      </c>
      <c r="O52" s="33">
        <v>1809</v>
      </c>
      <c r="P52" s="6">
        <f>SUM(D52:O52)</f>
        <v>21708</v>
      </c>
    </row>
    <row r="53">
      <c r="A53" t="s">
        <v>58</v>
      </c>
      <c r="B53" s="35">
        <v>2100</v>
      </c>
      <c r="D53" s="35">
        <v>2100</v>
      </c>
      <c r="E53" s="35">
        <v>2100</v>
      </c>
      <c r="F53" s="35">
        <v>2100</v>
      </c>
      <c r="G53" s="35">
        <v>2100</v>
      </c>
      <c r="H53" s="35">
        <v>2100</v>
      </c>
      <c r="I53" s="35">
        <v>2100</v>
      </c>
      <c r="J53" s="35">
        <v>2100</v>
      </c>
      <c r="K53" s="35">
        <v>2100</v>
      </c>
      <c r="L53" s="35">
        <v>2100</v>
      </c>
      <c r="M53" s="35">
        <v>2100</v>
      </c>
      <c r="N53" s="35">
        <v>2100</v>
      </c>
      <c r="O53" s="35">
        <v>2100</v>
      </c>
      <c r="P53" s="6">
        <f>SUM(D53:O53)</f>
        <v>25200</v>
      </c>
    </row>
    <row r="54">
      <c r="A54" s="3" t="s">
        <v>62</v>
      </c>
      <c r="B54" s="5"/>
      <c r="C54" s="10"/>
      <c r="D54" s="5">
        <f>SUM(D46:D53)</f>
        <v>12077</v>
      </c>
      <c r="E54" s="5">
        <f>SUM(E46:E53)</f>
        <v>12077</v>
      </c>
      <c r="F54" s="5">
        <f>SUM(F46:F53)</f>
        <v>12077</v>
      </c>
      <c r="G54" s="5">
        <f>SUM(G46:G53)</f>
        <v>12077</v>
      </c>
      <c r="H54" s="5">
        <f>SUM(H46:H53)</f>
        <v>12077</v>
      </c>
      <c r="I54" s="5">
        <f>SUM(I46:I53)</f>
        <v>12077</v>
      </c>
      <c r="J54" s="5">
        <f>SUM(J46:J53)</f>
        <v>12077</v>
      </c>
      <c r="K54" s="5">
        <f>SUM(K46:K53)</f>
        <v>12077</v>
      </c>
      <c r="L54" s="5">
        <f>SUM(L46:L53)</f>
        <v>12077</v>
      </c>
      <c r="M54" s="5">
        <f>SUM(M46:M53)</f>
        <v>12077</v>
      </c>
      <c r="N54" s="5">
        <f>SUM(N46:N53)</f>
        <v>12077</v>
      </c>
      <c r="O54" s="5">
        <f>SUM(O46:O53)</f>
        <v>12077</v>
      </c>
      <c r="P54" s="6">
        <f>SUM(D54:O54)</f>
        <v>144924</v>
      </c>
    </row>
    <row r="55" customHeight="1" ht="15">
      <c r="A55" s="3"/>
      <c r="B55" s="5"/>
      <c r="C55" s="10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/>
    </row>
    <row r="56">
      <c r="A56" s="3"/>
      <c r="B56" s="5"/>
      <c r="C56" s="1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/>
    </row>
    <row r="57">
      <c r="A57" s="3" t="s">
        <v>70</v>
      </c>
      <c r="B57" s="8" t="e">
        <f>B8-B43-B45</f>
        <v>#REF!</v>
      </c>
      <c r="C57" s="10"/>
      <c r="D57" s="8">
        <f>D44-D54</f>
        <v>-21025.54839999997</v>
      </c>
      <c r="E57" s="8">
        <f>E44-E54</f>
        <v>-15459.685900000011</v>
      </c>
      <c r="F57" s="8">
        <f>F44-F54</f>
        <v>6553.764100000029</v>
      </c>
      <c r="G57" s="8">
        <f>G44-G54</f>
        <v>20914.970350000018</v>
      </c>
      <c r="H57" s="8">
        <f>H44-H54</f>
        <v>34829.62660000002</v>
      </c>
      <c r="I57" s="8">
        <f>I44-I54</f>
        <v>34829.62660000002</v>
      </c>
      <c r="J57" s="8">
        <f>J44-J54</f>
        <v>48881.22485</v>
      </c>
      <c r="K57" s="8">
        <f>K44-K54</f>
        <v>48881.22485</v>
      </c>
      <c r="L57" s="8">
        <f>L44-L54</f>
        <v>62795.8811</v>
      </c>
      <c r="M57" s="8">
        <f>M44-M54</f>
        <v>48881.22485</v>
      </c>
      <c r="N57" s="8">
        <f>N44-N54</f>
        <v>21051.91235</v>
      </c>
      <c r="O57" s="8">
        <f>O44-O54</f>
        <v>7137.256099999999</v>
      </c>
      <c r="P57" s="8">
        <f>P44-P54</f>
        <v>298271.4774500001</v>
      </c>
    </row>
    <row r="58">
      <c r="A58" s="3" t="s">
        <v>35</v>
      </c>
      <c r="B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7"/>
    </row>
    <row r="59">
      <c r="A59" s="3" t="s">
        <v>36</v>
      </c>
      <c r="B59" s="5"/>
      <c r="D59" s="3"/>
      <c r="E59" s="3"/>
      <c r="F59" s="36"/>
      <c r="G59" s="36"/>
      <c r="H59" s="36"/>
      <c r="I59" s="36">
        <v>60000</v>
      </c>
      <c r="J59" s="36"/>
      <c r="K59" s="36"/>
      <c r="L59" s="36">
        <v>163000</v>
      </c>
      <c r="M59" s="36"/>
      <c r="N59" s="36"/>
      <c r="O59" s="36">
        <v>74000</v>
      </c>
      <c r="P59" s="39">
        <f>SUM(D59:O59)</f>
        <v>297000</v>
      </c>
    </row>
    <row r="60">
      <c r="A60" s="3" t="s">
        <v>37</v>
      </c>
      <c r="B60" s="5"/>
      <c r="D60" s="3"/>
      <c r="E60" s="3"/>
      <c r="F60" s="3"/>
      <c r="G60" s="3"/>
      <c r="H60" s="3"/>
      <c r="I60" s="6"/>
      <c r="J60" s="3"/>
      <c r="K60" s="3"/>
      <c r="L60" s="3"/>
      <c r="M60" s="3"/>
      <c r="N60" s="3"/>
      <c r="O60" s="6">
        <v>1000</v>
      </c>
      <c r="P60" s="38">
        <f>SUM(O60)</f>
        <v>1000</v>
      </c>
      <c r="R60" s="18"/>
    </row>
    <row r="61">
      <c r="A61" s="3"/>
      <c r="B61" s="5"/>
      <c r="C61" s="1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/>
    </row>
    <row r="62">
      <c r="A62" s="3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3"/>
    </row>
    <row r="63">
      <c r="A63" s="3"/>
      <c r="B63" s="5"/>
      <c r="C63" s="1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3"/>
    </row>
    <row r="64">
      <c r="A64" s="3"/>
      <c r="B64" s="5"/>
      <c r="C64" s="1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3"/>
    </row>
    <row r="65">
      <c r="A65" s="3"/>
      <c r="B65" s="5"/>
      <c r="C65" s="1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/>
    </row>
    <row r="66">
      <c r="A66" s="3"/>
      <c r="B66" s="5"/>
      <c r="C66" s="1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/>
    </row>
    <row r="67">
      <c r="A67" s="3"/>
      <c r="B67" s="5"/>
      <c r="C67" s="1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3"/>
    </row>
    <row r="68">
      <c r="A68" s="3"/>
      <c r="B68" s="5"/>
      <c r="C68" s="1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3"/>
    </row>
    <row r="69">
      <c r="A69" s="3"/>
      <c r="B69" s="5"/>
      <c r="C69" s="1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/>
    </row>
    <row r="70">
      <c r="A70" s="3"/>
      <c r="B70" s="5"/>
      <c r="C70" s="1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</row>
    <row r="71">
      <c r="A71" s="3"/>
      <c r="B71" s="5"/>
      <c r="C71" s="1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</row>
    <row r="72">
      <c r="A72" s="3"/>
      <c r="B72" s="5"/>
      <c r="C72" s="1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3"/>
    </row>
    <row r="73">
      <c r="A73" s="3"/>
      <c r="B73" s="5"/>
      <c r="C73" s="1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/>
    </row>
    <row r="74">
      <c r="A74" s="3"/>
      <c r="B74" s="5"/>
      <c r="C74" s="1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</row>
    <row r="75">
      <c r="A75" s="3"/>
      <c r="B75" s="5"/>
      <c r="C75" s="1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</row>
    <row r="76">
      <c r="A76" s="3"/>
      <c r="B76" s="5"/>
      <c r="C76" s="1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3"/>
    </row>
    <row r="77">
      <c r="A77" s="3"/>
      <c r="B77" s="5"/>
      <c r="C77" s="1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/>
    </row>
    <row r="78">
      <c r="A78" s="3"/>
      <c r="B78" s="5"/>
      <c r="C78" s="1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/>
    </row>
    <row r="79">
      <c r="A79" s="3"/>
      <c r="B79" s="5"/>
      <c r="C79" s="1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3"/>
    </row>
    <row r="80">
      <c r="A80" s="3"/>
      <c r="B80" s="5"/>
      <c r="C80" s="1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/>
    </row>
    <row r="81">
      <c r="A81" s="3"/>
      <c r="B81" s="5"/>
      <c r="C81" s="1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>
      <c r="A82" s="3"/>
      <c r="B82" s="5"/>
      <c r="C82" s="1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/>
      <c r="Q82" s="2"/>
    </row>
    <row r="83">
      <c r="A83" s="3"/>
      <c r="B83" s="5"/>
      <c r="C83" s="1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/>
    </row>
    <row r="84">
      <c r="A84" s="3"/>
      <c r="B84" s="5"/>
      <c r="C84" s="1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3"/>
    </row>
    <row r="85">
      <c r="A85" s="3"/>
      <c r="B85" s="5"/>
      <c r="C85" s="1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/>
    </row>
    <row r="86">
      <c r="A86" s="3"/>
      <c r="B86" s="5"/>
      <c r="C86" s="1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3"/>
    </row>
    <row r="87">
      <c r="A87" s="3"/>
      <c r="B87" s="5"/>
      <c r="C87" s="1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/>
    </row>
    <row r="88">
      <c r="A88" s="3"/>
      <c r="B88" s="5"/>
      <c r="C88" s="1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/>
    </row>
    <row r="89">
      <c r="A89" s="3"/>
      <c r="B89" s="5"/>
      <c r="C89" s="1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/>
    </row>
    <row r="90">
      <c r="A90" s="3"/>
      <c r="B90" s="5"/>
      <c r="C90" s="1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3"/>
    </row>
    <row r="91">
      <c r="A91" s="3"/>
      <c r="B91" s="5"/>
      <c r="C91" s="1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6"/>
    </row>
    <row r="92">
      <c r="A92" s="3"/>
      <c r="B92" s="5"/>
      <c r="C92" s="1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/>
    </row>
    <row r="93">
      <c r="A93" s="3"/>
      <c r="B93" s="5"/>
      <c r="C93" s="1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/>
    </row>
    <row r="94">
      <c r="A94" s="3"/>
      <c r="B94" s="5"/>
      <c r="C94" s="1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3"/>
    </row>
    <row r="95">
      <c r="A95" s="3"/>
      <c r="B95" s="5"/>
      <c r="C95" s="1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/>
    </row>
    <row r="96">
      <c r="A96" s="3"/>
      <c r="B96" s="5"/>
      <c r="C96" s="1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3"/>
    </row>
    <row r="97">
      <c r="A97" s="3"/>
      <c r="B97" s="12"/>
      <c r="C97" s="10"/>
      <c r="D97" s="12"/>
      <c r="E97" s="12"/>
      <c r="F97" s="5"/>
      <c r="G97" s="5"/>
      <c r="H97" s="5"/>
      <c r="I97" s="5"/>
      <c r="J97" s="5"/>
      <c r="K97" s="5"/>
      <c r="L97" s="5"/>
      <c r="M97" s="5"/>
      <c r="N97" s="5"/>
      <c r="O97" s="5"/>
      <c r="P97" s="6"/>
    </row>
    <row r="98">
      <c r="A98" s="3"/>
      <c r="B98" s="12"/>
      <c r="C98" s="13"/>
      <c r="D98" s="12"/>
      <c r="E98" s="12"/>
      <c r="F98" s="5"/>
      <c r="G98" s="5"/>
      <c r="H98" s="5"/>
      <c r="I98" s="5"/>
      <c r="J98" s="5"/>
      <c r="K98" s="5"/>
      <c r="L98" s="5"/>
      <c r="M98" s="5"/>
      <c r="N98" s="5"/>
      <c r="O98" s="5"/>
      <c r="P98" s="6"/>
    </row>
    <row r="99">
      <c r="A99" s="3"/>
      <c r="B99" s="12"/>
      <c r="C99" s="13"/>
      <c r="D99" s="12"/>
      <c r="E99" s="12"/>
      <c r="F99" s="5"/>
      <c r="G99" s="5"/>
      <c r="H99" s="5"/>
      <c r="I99" s="5"/>
      <c r="J99" s="5"/>
      <c r="K99" s="5"/>
      <c r="L99" s="5"/>
      <c r="M99" s="5"/>
      <c r="N99" s="5"/>
      <c r="O99" s="5"/>
      <c r="P99" s="6"/>
    </row>
    <row r="100">
      <c r="A100" s="3"/>
      <c r="B100" s="5"/>
      <c r="C100" s="1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3"/>
    </row>
    <row r="101">
      <c r="A101" s="3"/>
      <c r="B101" s="5"/>
      <c r="C101" s="1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/>
    </row>
    <row r="102">
      <c r="A102" s="3"/>
      <c r="B102" s="5"/>
      <c r="C102" s="1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/>
    </row>
    <row r="103">
      <c r="A103" s="3"/>
      <c r="B103" s="5"/>
      <c r="C103" s="1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6"/>
    </row>
    <row r="104">
      <c r="A104" s="3"/>
      <c r="B104" s="5"/>
      <c r="C104" s="1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>
      <c r="A105" s="3"/>
      <c r="B105" s="5"/>
      <c r="C105" s="1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3"/>
    </row>
    <row r="106">
      <c r="A106" s="3"/>
      <c r="B106" s="5"/>
      <c r="C106" s="1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3"/>
    </row>
    <row r="107">
      <c r="A107" s="3"/>
      <c r="B107" s="5"/>
      <c r="C107" s="1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3"/>
    </row>
    <row r="108">
      <c r="A108" s="3"/>
      <c r="B108" s="5"/>
      <c r="C108" s="1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6"/>
    </row>
    <row r="109">
      <c r="A109" s="3"/>
      <c r="B109" s="8"/>
      <c r="C109" s="1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9"/>
    </row>
    <row r="110">
      <c r="A110" s="3"/>
      <c r="B110" s="5"/>
      <c r="C110" s="11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6"/>
    </row>
    <row r="111">
      <c r="A111" s="3"/>
      <c r="B111" s="5"/>
      <c r="C111" s="1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6"/>
    </row>
    <row r="112">
      <c r="A112" s="3"/>
      <c r="B112" s="5"/>
      <c r="C112" s="1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6"/>
    </row>
    <row r="113">
      <c r="A113" s="3"/>
      <c r="B113" s="8"/>
      <c r="C113" s="1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9"/>
    </row>
    <row r="114">
      <c r="A114" s="14"/>
      <c r="B114" s="15"/>
      <c r="C114" s="10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>
      <c r="B115" s="1"/>
      <c r="C115" s="2"/>
    </row>
    <row r="116">
      <c r="C116" s="2"/>
    </row>
    <row r="117">
      <c r="A117" s="3" t="s">
        <v>35</v>
      </c>
      <c r="B117" s="5"/>
      <c r="C117" s="5"/>
      <c r="D117" s="5">
        <v>5000</v>
      </c>
      <c r="E117" s="5">
        <v>5000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>
        <f>SUM(D117:O117)</f>
        <v>10000</v>
      </c>
      <c r="Q117" s="1"/>
    </row>
    <row r="118">
      <c r="A118" s="3" t="s">
        <v>36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"/>
    </row>
    <row r="119">
      <c r="A119" s="3" t="s">
        <v>37</v>
      </c>
      <c r="B119" s="5"/>
      <c r="C119" s="5"/>
      <c r="D119" s="5"/>
      <c r="E119" s="5"/>
      <c r="F119" s="5"/>
      <c r="G119" s="5">
        <v>139651.33</v>
      </c>
      <c r="H119" s="5"/>
      <c r="I119" s="5"/>
      <c r="J119" s="5"/>
      <c r="K119" s="5"/>
      <c r="L119" s="5"/>
      <c r="M119" s="5">
        <v>59645.74</v>
      </c>
      <c r="N119" s="5"/>
      <c r="O119" s="5"/>
      <c r="P119" s="5">
        <f>G119+M119</f>
        <v>199297.06999999998</v>
      </c>
      <c r="Q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</sheetData>
  <pageMargins left="0.25" right="0.25" top="0.5" bottom="0.25" header="0.3" footer="0.3"/>
  <pageSetup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20"/>
  <sheetViews>
    <sheetView topLeftCell="D37" workbookViewId="0">
      <selection activeCell="P60" sqref="O60:P60"/>
    </sheetView>
  </sheetViews>
  <sheetFormatPr defaultRowHeight="15.75" x14ac:dyDescent="0.25" outlineLevelRow="0" outlineLevelCol="0"/>
  <cols>
    <col min="1" max="1" width="31.125" customWidth="1"/>
    <col min="2" max="2" width="13.5" customWidth="1"/>
    <col min="3" max="3" width="7.375" customWidth="1"/>
    <col min="4" max="4" width="12" customWidth="1"/>
    <col min="5" max="5" width="13.5" customWidth="1"/>
    <col min="6" max="6" width="12.875" customWidth="1"/>
    <col min="7" max="7" width="13.875" customWidth="1"/>
    <col min="8" max="8" width="12.125" customWidth="1"/>
    <col min="9" max="9" width="13.125" customWidth="1"/>
    <col min="10" max="10" width="12.125" customWidth="1"/>
    <col min="11" max="11" width="12.75" customWidth="1"/>
    <col min="12" max="12" width="12.125" customWidth="1"/>
    <col min="13" max="13" width="12.75" customWidth="1"/>
    <col min="14" max="14" width="13" customWidth="1"/>
    <col min="15" max="15" width="14.25" customWidth="1"/>
    <col min="16" max="16" width="15.75" customWidth="1"/>
    <col min="17" max="17" width="13.75" bestFit="1" customWidth="1"/>
  </cols>
  <sheetData>
    <row r="1">
      <c r="A1" s="30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3" t="s">
        <v>0</v>
      </c>
      <c r="B2" s="4" t="s">
        <v>34</v>
      </c>
      <c r="C2" s="3"/>
      <c r="D2" s="4">
        <v>46781</v>
      </c>
      <c r="E2" s="4">
        <v>46812</v>
      </c>
      <c r="F2" s="4">
        <v>46841</v>
      </c>
      <c r="G2" s="4">
        <v>46872</v>
      </c>
      <c r="H2" s="4">
        <v>46902</v>
      </c>
      <c r="I2" s="4">
        <v>46933</v>
      </c>
      <c r="J2" s="4">
        <v>46963</v>
      </c>
      <c r="K2" s="4">
        <v>46994</v>
      </c>
      <c r="L2" s="4">
        <v>47025</v>
      </c>
      <c r="M2" s="4">
        <v>47055</v>
      </c>
      <c r="N2" s="4">
        <v>47086</v>
      </c>
      <c r="O2" s="4">
        <v>47116</v>
      </c>
      <c r="P2" s="3"/>
    </row>
    <row r="3">
      <c r="A3" s="3" t="s">
        <v>1</v>
      </c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32</v>
      </c>
      <c r="P3" s="3"/>
    </row>
    <row r="4">
      <c r="A4" s="3" t="s">
        <v>39</v>
      </c>
      <c r="B4" s="3"/>
      <c r="C4" s="5"/>
      <c r="D4" s="3">
        <v>450</v>
      </c>
      <c r="E4" s="3">
        <v>470</v>
      </c>
      <c r="F4" s="3">
        <v>520</v>
      </c>
      <c r="G4" s="3">
        <v>540</v>
      </c>
      <c r="H4" s="3">
        <v>565</v>
      </c>
      <c r="I4" s="3">
        <v>565</v>
      </c>
      <c r="J4" s="3">
        <v>575</v>
      </c>
      <c r="K4" s="3">
        <v>580</v>
      </c>
      <c r="L4" s="3">
        <v>625</v>
      </c>
      <c r="M4" s="3">
        <v>600</v>
      </c>
      <c r="N4" s="3">
        <v>550</v>
      </c>
      <c r="O4" s="3">
        <v>525</v>
      </c>
      <c r="P4" s="3" t="s">
        <v>31</v>
      </c>
    </row>
    <row r="5">
      <c r="A5" s="3" t="s">
        <v>40</v>
      </c>
      <c r="B5" s="5"/>
      <c r="C5" s="10"/>
      <c r="D5" s="5">
        <f>850*D4*1.02</f>
        <v>390150</v>
      </c>
      <c r="E5" s="5">
        <f>850*E4*1.02</f>
        <v>407490</v>
      </c>
      <c r="F5" s="5">
        <f>850*F4*1.02</f>
        <v>450840</v>
      </c>
      <c r="G5" s="5">
        <f>850*G4*1.02</f>
        <v>468180</v>
      </c>
      <c r="H5" s="5">
        <f>850*H4*1.02</f>
        <v>489855</v>
      </c>
      <c r="I5" s="5">
        <f>850*I4*1.02</f>
        <v>489855</v>
      </c>
      <c r="J5" s="5">
        <f>850*J4*1.02</f>
        <v>498525</v>
      </c>
      <c r="K5" s="5">
        <f>850*K4*1.02</f>
        <v>502860</v>
      </c>
      <c r="L5" s="5">
        <f>850*L4*1.02</f>
        <v>541875</v>
      </c>
      <c r="M5" s="5">
        <f>850*M4*1.02</f>
        <v>520200</v>
      </c>
      <c r="N5" s="5">
        <f>850*N4*1.02</f>
        <v>476850</v>
      </c>
      <c r="O5" s="5">
        <f>850*O4*1.02</f>
        <v>455175</v>
      </c>
      <c r="P5" s="6">
        <f>SUM(D5:O5)</f>
        <v>5691855</v>
      </c>
    </row>
    <row r="6">
      <c r="A6" s="3" t="s">
        <v>49</v>
      </c>
      <c r="B6" s="3"/>
      <c r="C6" s="10"/>
      <c r="D6" s="6">
        <f>D5/D4</f>
        <v>867</v>
      </c>
      <c r="E6" s="6">
        <f>E5/E4</f>
        <v>867</v>
      </c>
      <c r="F6" s="6">
        <f>F5/F4</f>
        <v>867</v>
      </c>
      <c r="G6" s="6">
        <f>G5/G4</f>
        <v>867</v>
      </c>
      <c r="H6" s="6">
        <f>H5/H4</f>
        <v>867</v>
      </c>
      <c r="I6" s="6">
        <f>I5/I4</f>
        <v>867</v>
      </c>
      <c r="J6" s="6">
        <f>J5/J4</f>
        <v>867</v>
      </c>
      <c r="K6" s="6">
        <f>K5/K4</f>
        <v>867</v>
      </c>
      <c r="L6" s="6">
        <f>L5/L4</f>
        <v>867</v>
      </c>
      <c r="M6" s="6">
        <f>M5/M4</f>
        <v>867</v>
      </c>
      <c r="N6" s="6">
        <f>N5/N4</f>
        <v>867</v>
      </c>
      <c r="O6" s="6">
        <f>O5/O4</f>
        <v>867</v>
      </c>
      <c r="P6" s="3"/>
    </row>
    <row r="7">
      <c r="A7" s="17" t="s">
        <v>43</v>
      </c>
      <c r="B7" s="3"/>
      <c r="C7" s="3"/>
      <c r="D7" s="3">
        <v>22000</v>
      </c>
      <c r="E7" s="3">
        <v>22000</v>
      </c>
      <c r="F7" s="3">
        <v>22000</v>
      </c>
      <c r="G7" s="3">
        <v>22000</v>
      </c>
      <c r="H7" s="3">
        <v>22000</v>
      </c>
      <c r="I7" s="3">
        <v>22000</v>
      </c>
      <c r="J7" s="3">
        <v>22000</v>
      </c>
      <c r="K7" s="3">
        <v>22000</v>
      </c>
      <c r="L7" s="3">
        <v>22000</v>
      </c>
      <c r="M7" s="3">
        <v>22000</v>
      </c>
      <c r="N7" s="3">
        <v>22000</v>
      </c>
      <c r="O7" s="3">
        <v>22000</v>
      </c>
      <c r="P7" s="5">
        <f>SUM(D7:O7)</f>
        <v>264000</v>
      </c>
    </row>
    <row r="8">
      <c r="A8" s="7" t="s">
        <v>3</v>
      </c>
      <c r="B8" s="9"/>
      <c r="C8" s="9"/>
      <c r="D8" s="9">
        <f>D5-D7</f>
        <v>368150</v>
      </c>
      <c r="E8" s="9">
        <f>E5-E7</f>
        <v>385490</v>
      </c>
      <c r="F8" s="9">
        <f>F5-F7</f>
        <v>428840</v>
      </c>
      <c r="G8" s="9">
        <f>G5-G7</f>
        <v>446180</v>
      </c>
      <c r="H8" s="9">
        <f>H5-H7</f>
        <v>467855</v>
      </c>
      <c r="I8" s="9">
        <f>I5-I7</f>
        <v>467855</v>
      </c>
      <c r="J8" s="9">
        <f>J5-J7</f>
        <v>476525</v>
      </c>
      <c r="K8" s="9">
        <f>K5-K7</f>
        <v>480860</v>
      </c>
      <c r="L8" s="9">
        <f>L5-L7</f>
        <v>519875</v>
      </c>
      <c r="M8" s="9">
        <f>M5-M7</f>
        <v>498200</v>
      </c>
      <c r="N8" s="9">
        <f>N5-N7</f>
        <v>454850</v>
      </c>
      <c r="O8" s="9">
        <f>O5-O7</f>
        <v>433175</v>
      </c>
      <c r="P8" s="9">
        <f>SUM(D8:O8)</f>
        <v>5427855</v>
      </c>
    </row>
    <row r="9">
      <c r="A9" s="22" t="s">
        <v>48</v>
      </c>
      <c r="B9" s="6">
        <f>B5*25%</f>
        <v>0</v>
      </c>
      <c r="C9" s="27">
        <v>0.28</v>
      </c>
      <c r="D9" s="6">
        <f>D5*28%</f>
        <v>109242.00000000001</v>
      </c>
      <c r="E9" s="6">
        <f>E5*28%</f>
        <v>114097.20000000001</v>
      </c>
      <c r="F9" s="6">
        <f>F5*28%</f>
        <v>126235.20000000001</v>
      </c>
      <c r="G9" s="6">
        <f>G5*28%</f>
        <v>131090.40000000002</v>
      </c>
      <c r="H9" s="6">
        <f>H5*28%</f>
        <v>137159.40000000002</v>
      </c>
      <c r="I9" s="6">
        <f>I5*28%</f>
        <v>137159.40000000002</v>
      </c>
      <c r="J9" s="6">
        <f>J5*28%</f>
        <v>139587</v>
      </c>
      <c r="K9" s="6">
        <f>K5*28%</f>
        <v>140800.80000000002</v>
      </c>
      <c r="L9" s="6">
        <f>L5*28%</f>
        <v>151725</v>
      </c>
      <c r="M9" s="6">
        <f>M5*28%</f>
        <v>145656</v>
      </c>
      <c r="N9" s="6">
        <f>N5*28%</f>
        <v>133518</v>
      </c>
      <c r="O9" s="6">
        <f>O5*28%</f>
        <v>127449.00000000001</v>
      </c>
      <c r="P9" s="6">
        <f>SUM(D9:O9)</f>
        <v>1593719.4000000001</v>
      </c>
      <c r="Q9" s="18"/>
    </row>
    <row r="10">
      <c r="A10" s="7" t="s">
        <v>4</v>
      </c>
      <c r="B10" s="8">
        <f>B9</f>
        <v>0</v>
      </c>
      <c r="C10" s="8"/>
      <c r="D10" s="8">
        <f>D9</f>
        <v>109242.00000000001</v>
      </c>
      <c r="E10" s="8">
        <f>E9</f>
        <v>114097.20000000001</v>
      </c>
      <c r="F10" s="8">
        <f>F9</f>
        <v>126235.20000000001</v>
      </c>
      <c r="G10" s="8">
        <f>G9</f>
        <v>131090.40000000002</v>
      </c>
      <c r="H10" s="8">
        <f>H9</f>
        <v>137159.40000000002</v>
      </c>
      <c r="I10" s="8">
        <f>I9</f>
        <v>137159.40000000002</v>
      </c>
      <c r="J10" s="8">
        <f>J9</f>
        <v>139587</v>
      </c>
      <c r="K10" s="8">
        <f>K9</f>
        <v>140800.80000000002</v>
      </c>
      <c r="L10" s="8">
        <f>L9</f>
        <v>151725</v>
      </c>
      <c r="M10" s="8">
        <f>M9</f>
        <v>145656</v>
      </c>
      <c r="N10" s="8">
        <f>N9</f>
        <v>133518</v>
      </c>
      <c r="O10" s="8">
        <f>O9</f>
        <v>127449.00000000001</v>
      </c>
      <c r="P10" s="8">
        <f>P9</f>
        <v>1593719.4000000001</v>
      </c>
    </row>
    <row r="11">
      <c r="A11" s="7" t="s">
        <v>46</v>
      </c>
      <c r="B11" s="8">
        <f>B8-B10</f>
        <v>0</v>
      </c>
      <c r="C11" s="8"/>
      <c r="D11" s="8">
        <f>D8-D10</f>
        <v>258908</v>
      </c>
      <c r="E11" s="8">
        <f>E8-E10</f>
        <v>271392.8</v>
      </c>
      <c r="F11" s="8">
        <f>F8-F10</f>
        <v>302604.8</v>
      </c>
      <c r="G11" s="8">
        <f>G8-G10</f>
        <v>315089.6</v>
      </c>
      <c r="H11" s="8">
        <f>H8-H10</f>
        <v>330695.6</v>
      </c>
      <c r="I11" s="8">
        <f>I8-I10</f>
        <v>330695.6</v>
      </c>
      <c r="J11" s="8">
        <f>J8-J10</f>
        <v>336938</v>
      </c>
      <c r="K11" s="8">
        <f>K8-K10</f>
        <v>340059.19999999995</v>
      </c>
      <c r="L11" s="8">
        <f>L8-L10</f>
        <v>368150</v>
      </c>
      <c r="M11" s="8">
        <f>M8-M10</f>
        <v>352544</v>
      </c>
      <c r="N11" s="8">
        <f>N8-N10</f>
        <v>321332</v>
      </c>
      <c r="O11" s="8">
        <f>O8-O10</f>
        <v>305726</v>
      </c>
      <c r="P11" s="8">
        <f>P8-P10</f>
        <v>3834135.5999999996</v>
      </c>
      <c r="Q11" s="18"/>
    </row>
    <row r="12">
      <c r="A12" s="28" t="s">
        <v>5</v>
      </c>
      <c r="B12" s="3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6"/>
    </row>
    <row r="13">
      <c r="A13" s="3" t="s">
        <v>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>
      <c r="A14" s="23" t="s">
        <v>7</v>
      </c>
      <c r="B14" s="5"/>
      <c r="C14" s="5"/>
      <c r="D14" s="5">
        <v>7900</v>
      </c>
      <c r="E14" s="5">
        <v>7900</v>
      </c>
      <c r="F14" s="5">
        <v>7900</v>
      </c>
      <c r="G14" s="5">
        <v>7900</v>
      </c>
      <c r="H14" s="5">
        <v>7900</v>
      </c>
      <c r="I14" s="5">
        <v>7900</v>
      </c>
      <c r="J14" s="5">
        <v>7900</v>
      </c>
      <c r="K14" s="5">
        <v>7900</v>
      </c>
      <c r="L14" s="5">
        <v>7900</v>
      </c>
      <c r="M14" s="5">
        <v>7900</v>
      </c>
      <c r="N14" s="5">
        <v>7900</v>
      </c>
      <c r="O14" s="5">
        <v>7900</v>
      </c>
      <c r="P14" s="5">
        <f>SUM(D14:O14)</f>
        <v>94800</v>
      </c>
    </row>
    <row r="15">
      <c r="A15" s="23" t="s">
        <v>41</v>
      </c>
      <c r="B15" s="5"/>
      <c r="C15" s="5"/>
      <c r="D15" s="5">
        <v>3200</v>
      </c>
      <c r="E15" s="5">
        <v>3200</v>
      </c>
      <c r="F15" s="5">
        <v>3200</v>
      </c>
      <c r="G15" s="5">
        <v>3200</v>
      </c>
      <c r="H15" s="5">
        <v>3200</v>
      </c>
      <c r="I15" s="5">
        <v>3200</v>
      </c>
      <c r="J15" s="5">
        <v>3200</v>
      </c>
      <c r="K15" s="5">
        <v>3200</v>
      </c>
      <c r="L15" s="5">
        <v>3200</v>
      </c>
      <c r="M15" s="5">
        <v>3200</v>
      </c>
      <c r="N15" s="5">
        <v>3200</v>
      </c>
      <c r="O15" s="5">
        <v>3200</v>
      </c>
      <c r="P15" s="5">
        <f>SUM(D15:O15)</f>
        <v>38400</v>
      </c>
    </row>
    <row r="16">
      <c r="A16" s="23" t="s">
        <v>42</v>
      </c>
      <c r="B16" s="5"/>
      <c r="C16" s="5"/>
      <c r="D16" s="5">
        <v>620</v>
      </c>
      <c r="E16" s="5">
        <v>620</v>
      </c>
      <c r="F16" s="5">
        <v>620</v>
      </c>
      <c r="G16" s="5">
        <v>620</v>
      </c>
      <c r="H16" s="5">
        <v>620</v>
      </c>
      <c r="I16" s="5">
        <v>620</v>
      </c>
      <c r="J16" s="5">
        <v>620</v>
      </c>
      <c r="K16" s="5">
        <v>620</v>
      </c>
      <c r="L16" s="5">
        <v>620</v>
      </c>
      <c r="M16" s="5">
        <v>620</v>
      </c>
      <c r="N16" s="5">
        <v>620</v>
      </c>
      <c r="O16" s="5">
        <v>620</v>
      </c>
      <c r="P16" s="5">
        <f>SUM(D16:O16)</f>
        <v>7440</v>
      </c>
    </row>
    <row r="17">
      <c r="A17" s="24" t="s">
        <v>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5"/>
    </row>
    <row r="18">
      <c r="A18" s="3" t="s">
        <v>9</v>
      </c>
      <c r="B18" s="5"/>
      <c r="C18" s="5"/>
      <c r="D18" s="5">
        <v>7700</v>
      </c>
      <c r="E18" s="5">
        <v>7700</v>
      </c>
      <c r="F18" s="5">
        <v>7700</v>
      </c>
      <c r="G18" s="5">
        <v>7700</v>
      </c>
      <c r="H18" s="5">
        <v>7700</v>
      </c>
      <c r="I18" s="5">
        <v>7700</v>
      </c>
      <c r="J18" s="5">
        <v>7700</v>
      </c>
      <c r="K18" s="5">
        <v>7700</v>
      </c>
      <c r="L18" s="5">
        <v>7700</v>
      </c>
      <c r="M18" s="5">
        <v>7700</v>
      </c>
      <c r="N18" s="5">
        <v>7700</v>
      </c>
      <c r="O18" s="5">
        <v>7700</v>
      </c>
      <c r="P18" s="5">
        <f>SUM(D18:O18)</f>
        <v>92400</v>
      </c>
    </row>
    <row r="19">
      <c r="A19" s="22" t="s">
        <v>10</v>
      </c>
      <c r="B19" s="5"/>
      <c r="C19" s="5"/>
      <c r="D19" s="5">
        <v>750</v>
      </c>
      <c r="E19" s="5">
        <v>750</v>
      </c>
      <c r="F19" s="5">
        <v>750</v>
      </c>
      <c r="G19" s="5">
        <v>750</v>
      </c>
      <c r="H19" s="5">
        <v>750</v>
      </c>
      <c r="I19" s="5">
        <v>750</v>
      </c>
      <c r="J19" s="5">
        <v>750</v>
      </c>
      <c r="K19" s="5">
        <v>750</v>
      </c>
      <c r="L19" s="5">
        <v>750</v>
      </c>
      <c r="M19" s="5">
        <v>750</v>
      </c>
      <c r="N19" s="5">
        <v>750</v>
      </c>
      <c r="O19" s="5">
        <v>750</v>
      </c>
      <c r="P19" s="5">
        <f>SUM(D19:O19)</f>
        <v>9000</v>
      </c>
    </row>
    <row r="20">
      <c r="A20" s="24" t="s">
        <v>11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5"/>
    </row>
    <row r="21">
      <c r="A21" s="3" t="s">
        <v>12</v>
      </c>
      <c r="B21" s="5"/>
      <c r="C21" s="5"/>
      <c r="D21" s="5">
        <v>3900</v>
      </c>
      <c r="E21" s="5">
        <v>3900</v>
      </c>
      <c r="F21" s="5">
        <v>3900</v>
      </c>
      <c r="G21" s="5">
        <v>3900</v>
      </c>
      <c r="H21" s="5">
        <v>3900</v>
      </c>
      <c r="I21" s="5">
        <v>3900</v>
      </c>
      <c r="J21" s="5">
        <v>3900</v>
      </c>
      <c r="K21" s="5">
        <v>3900</v>
      </c>
      <c r="L21" s="5">
        <v>3900</v>
      </c>
      <c r="M21" s="5">
        <v>3900</v>
      </c>
      <c r="N21" s="5">
        <v>3900</v>
      </c>
      <c r="O21" s="5">
        <v>3900</v>
      </c>
      <c r="P21" s="5">
        <f>SUM(D21:O21)</f>
        <v>46800</v>
      </c>
    </row>
    <row r="22">
      <c r="A22" s="3" t="s">
        <v>13</v>
      </c>
      <c r="B22" s="5"/>
      <c r="C22" s="5"/>
      <c r="D22" s="5">
        <v>4200</v>
      </c>
      <c r="E22" s="5">
        <v>4200</v>
      </c>
      <c r="F22" s="5">
        <v>4200</v>
      </c>
      <c r="G22" s="5">
        <v>4200</v>
      </c>
      <c r="H22" s="5">
        <v>4200</v>
      </c>
      <c r="I22" s="5">
        <v>4200</v>
      </c>
      <c r="J22" s="5">
        <v>4200</v>
      </c>
      <c r="K22" s="5">
        <v>4200</v>
      </c>
      <c r="L22" s="5">
        <v>4200</v>
      </c>
      <c r="M22" s="5">
        <v>4200</v>
      </c>
      <c r="N22" s="5">
        <v>4200</v>
      </c>
      <c r="O22" s="5">
        <v>4200</v>
      </c>
      <c r="P22" s="5">
        <f>SUM(D22:O22)</f>
        <v>50400</v>
      </c>
    </row>
    <row r="23">
      <c r="A23" s="3" t="s">
        <v>14</v>
      </c>
      <c r="B23" s="5"/>
      <c r="C23" s="5"/>
      <c r="D23" s="5">
        <v>125</v>
      </c>
      <c r="E23" s="5">
        <v>125</v>
      </c>
      <c r="F23" s="5">
        <v>125</v>
      </c>
      <c r="G23" s="5">
        <v>125</v>
      </c>
      <c r="H23" s="5">
        <v>125</v>
      </c>
      <c r="I23" s="5">
        <v>125</v>
      </c>
      <c r="J23" s="5">
        <v>125</v>
      </c>
      <c r="K23" s="5">
        <v>125</v>
      </c>
      <c r="L23" s="5">
        <v>125</v>
      </c>
      <c r="M23" s="5">
        <v>125</v>
      </c>
      <c r="N23" s="5">
        <v>125</v>
      </c>
      <c r="O23" s="5">
        <v>125</v>
      </c>
      <c r="P23" s="5">
        <f>SUM(D23:O23)</f>
        <v>1500</v>
      </c>
    </row>
    <row r="24">
      <c r="A24" s="21" t="s">
        <v>51</v>
      </c>
      <c r="B24" s="5"/>
      <c r="C24" s="5"/>
      <c r="D24" s="5">
        <f>D5*0.065</f>
        <v>25359.75</v>
      </c>
      <c r="E24" s="5">
        <f>E5*0.065</f>
        <v>26486.850000000002</v>
      </c>
      <c r="F24" s="5">
        <f>F5*0.065</f>
        <v>29304.600000000002</v>
      </c>
      <c r="G24" s="5">
        <f>G5*0.065</f>
        <v>30431.7</v>
      </c>
      <c r="H24" s="5">
        <f>H5*0.065</f>
        <v>31840.575</v>
      </c>
      <c r="I24" s="5">
        <f>I5*0.065</f>
        <v>31840.575</v>
      </c>
      <c r="J24" s="5">
        <f>J5*0.065</f>
        <v>32404.125</v>
      </c>
      <c r="K24" s="5">
        <f>K5*0.065</f>
        <v>32685.9</v>
      </c>
      <c r="L24" s="5">
        <f>L5*0.065</f>
        <v>35221.875</v>
      </c>
      <c r="M24" s="5">
        <f>M5*0.065</f>
        <v>33813</v>
      </c>
      <c r="N24" s="5">
        <f>N5*0.065</f>
        <v>30995.25</v>
      </c>
      <c r="O24" s="5">
        <f>O5*0.065</f>
        <v>29586.375</v>
      </c>
      <c r="P24" s="5">
        <f>SUM(D24:O24)</f>
        <v>369970.575</v>
      </c>
    </row>
    <row r="25">
      <c r="A25" s="40" t="s">
        <v>68</v>
      </c>
      <c r="B25" s="5"/>
      <c r="C25" s="5"/>
      <c r="D25" s="5">
        <v>13000</v>
      </c>
      <c r="E25" s="5">
        <v>13000</v>
      </c>
      <c r="F25" s="5">
        <v>13000</v>
      </c>
      <c r="G25" s="5">
        <v>13000</v>
      </c>
      <c r="H25" s="5">
        <v>13000</v>
      </c>
      <c r="I25" s="5">
        <v>13000</v>
      </c>
      <c r="J25" s="5">
        <v>13000</v>
      </c>
      <c r="K25" s="5">
        <v>13000</v>
      </c>
      <c r="L25" s="5">
        <v>13000</v>
      </c>
      <c r="M25" s="5">
        <v>13000</v>
      </c>
      <c r="N25" s="5">
        <v>13000</v>
      </c>
      <c r="O25" s="5">
        <v>13000</v>
      </c>
      <c r="P25" s="5">
        <f>SUM(D25:O25)</f>
        <v>156000</v>
      </c>
    </row>
    <row r="26">
      <c r="A26" s="3" t="s">
        <v>15</v>
      </c>
      <c r="B26" s="5"/>
      <c r="C26" s="5"/>
      <c r="D26" s="5">
        <v>27500</v>
      </c>
      <c r="E26" s="5">
        <v>27500</v>
      </c>
      <c r="F26" s="5">
        <v>27500</v>
      </c>
      <c r="G26" s="5">
        <v>27500</v>
      </c>
      <c r="H26" s="5">
        <v>27500</v>
      </c>
      <c r="I26" s="5">
        <v>27500</v>
      </c>
      <c r="J26" s="5">
        <v>27500</v>
      </c>
      <c r="K26" s="5">
        <v>27500</v>
      </c>
      <c r="L26" s="5">
        <v>27500</v>
      </c>
      <c r="M26" s="5">
        <v>27500</v>
      </c>
      <c r="N26" s="5">
        <v>27500</v>
      </c>
      <c r="O26" s="5">
        <v>27500</v>
      </c>
      <c r="P26" s="5">
        <f>SUM(D26:O26)</f>
        <v>330000</v>
      </c>
    </row>
    <row r="27">
      <c r="A27" s="3" t="s">
        <v>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>SUM(D27:O27)</f>
        <v>0</v>
      </c>
    </row>
    <row r="28">
      <c r="A28" s="24" t="s">
        <v>17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5"/>
    </row>
    <row r="29">
      <c r="A29" s="3" t="s">
        <v>18</v>
      </c>
      <c r="B29" s="5"/>
      <c r="C29" s="5"/>
      <c r="D29" s="5">
        <v>4950</v>
      </c>
      <c r="E29" s="5">
        <v>4950</v>
      </c>
      <c r="F29" s="5">
        <v>4950</v>
      </c>
      <c r="G29" s="5">
        <v>4950</v>
      </c>
      <c r="H29" s="5">
        <v>4950</v>
      </c>
      <c r="I29" s="5">
        <v>4950</v>
      </c>
      <c r="J29" s="5">
        <v>4950</v>
      </c>
      <c r="K29" s="5">
        <v>4950</v>
      </c>
      <c r="L29" s="5">
        <v>4950</v>
      </c>
      <c r="M29" s="5">
        <v>4950</v>
      </c>
      <c r="N29" s="5">
        <v>4950</v>
      </c>
      <c r="O29" s="5">
        <v>4950</v>
      </c>
      <c r="P29" s="5">
        <f>SUM(D29:O29)</f>
        <v>59400</v>
      </c>
    </row>
    <row r="30">
      <c r="A30" s="3" t="s">
        <v>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>SUM(D30:O30)</f>
        <v>0</v>
      </c>
    </row>
    <row r="31">
      <c r="A31" s="3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>SUM(D31:O31)</f>
        <v>0</v>
      </c>
    </row>
    <row r="32">
      <c r="A32" s="24" t="s">
        <v>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5"/>
    </row>
    <row r="33">
      <c r="A33" s="3" t="s">
        <v>50</v>
      </c>
      <c r="B33" s="5"/>
      <c r="C33" s="5"/>
      <c r="D33" s="5">
        <v>700</v>
      </c>
      <c r="E33" s="5">
        <v>700</v>
      </c>
      <c r="F33" s="5">
        <v>700</v>
      </c>
      <c r="G33" s="5">
        <v>700</v>
      </c>
      <c r="H33" s="5">
        <v>700</v>
      </c>
      <c r="I33" s="5">
        <v>700</v>
      </c>
      <c r="J33" s="5">
        <v>700</v>
      </c>
      <c r="K33" s="5">
        <v>700</v>
      </c>
      <c r="L33" s="5">
        <v>700</v>
      </c>
      <c r="M33" s="5">
        <v>700</v>
      </c>
      <c r="N33" s="5">
        <v>700</v>
      </c>
      <c r="O33" s="5">
        <v>700</v>
      </c>
      <c r="P33" s="5">
        <f>SUM(D33:O33)</f>
        <v>8400</v>
      </c>
    </row>
    <row r="34">
      <c r="A34" s="3" t="s">
        <v>44</v>
      </c>
      <c r="B34" s="5"/>
      <c r="C34" s="5"/>
      <c r="D34" s="5">
        <v>600</v>
      </c>
      <c r="E34" s="5">
        <v>600</v>
      </c>
      <c r="F34" s="5">
        <v>600</v>
      </c>
      <c r="G34" s="5">
        <v>600</v>
      </c>
      <c r="H34" s="5">
        <v>600</v>
      </c>
      <c r="I34" s="5">
        <v>600</v>
      </c>
      <c r="J34" s="5">
        <v>600</v>
      </c>
      <c r="K34" s="5">
        <v>600</v>
      </c>
      <c r="L34" s="5">
        <v>600</v>
      </c>
      <c r="M34" s="5">
        <v>600</v>
      </c>
      <c r="N34" s="5">
        <v>600</v>
      </c>
      <c r="O34" s="5">
        <v>600</v>
      </c>
      <c r="P34" s="5">
        <f>SUM(D34:O34)</f>
        <v>7200</v>
      </c>
    </row>
    <row r="35">
      <c r="A35" s="3" t="s">
        <v>22</v>
      </c>
      <c r="B35" s="5"/>
      <c r="C35" s="5"/>
      <c r="D35" s="5">
        <v>1560</v>
      </c>
      <c r="E35" s="5">
        <v>1560</v>
      </c>
      <c r="F35" s="5">
        <v>1560</v>
      </c>
      <c r="G35" s="5">
        <v>1560</v>
      </c>
      <c r="H35" s="5">
        <v>1560</v>
      </c>
      <c r="I35" s="5">
        <v>1560</v>
      </c>
      <c r="J35" s="5">
        <v>1560</v>
      </c>
      <c r="K35" s="5">
        <v>1560</v>
      </c>
      <c r="L35" s="5">
        <v>1560</v>
      </c>
      <c r="M35" s="5">
        <v>1560</v>
      </c>
      <c r="N35" s="5">
        <v>1560</v>
      </c>
      <c r="O35" s="5">
        <v>1560</v>
      </c>
      <c r="P35" s="5">
        <f>SUM(D35:O35)</f>
        <v>18720</v>
      </c>
    </row>
    <row r="36">
      <c r="A36" s="24" t="s">
        <v>23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5"/>
    </row>
    <row r="37">
      <c r="A37" s="3" t="s">
        <v>24</v>
      </c>
      <c r="B37" s="5"/>
      <c r="C37" s="5"/>
      <c r="D37" s="5">
        <f>D38*0.085</f>
        <v>12920.000000000002</v>
      </c>
      <c r="E37" s="5">
        <f>E38*0.085</f>
        <v>12920.000000000002</v>
      </c>
      <c r="F37" s="5">
        <f>F38*0.085</f>
        <v>12920.000000000002</v>
      </c>
      <c r="G37" s="5">
        <f>G38*0.085</f>
        <v>12920.000000000002</v>
      </c>
      <c r="H37" s="5">
        <f>H38*0.085</f>
        <v>12920.000000000002</v>
      </c>
      <c r="I37" s="5">
        <f>I38*0.085</f>
        <v>12920.000000000002</v>
      </c>
      <c r="J37" s="5">
        <f>J38*0.085</f>
        <v>12920.000000000002</v>
      </c>
      <c r="K37" s="5">
        <f>K38*0.085</f>
        <v>12920.000000000002</v>
      </c>
      <c r="L37" s="5">
        <f>L38*0.085</f>
        <v>12920.000000000002</v>
      </c>
      <c r="M37" s="5">
        <f>M38*0.085</f>
        <v>12920.000000000002</v>
      </c>
      <c r="N37" s="5">
        <f>N38*0.085</f>
        <v>12920.000000000002</v>
      </c>
      <c r="O37" s="5">
        <f>O38*0.085</f>
        <v>12920.000000000002</v>
      </c>
      <c r="P37" s="5">
        <f>SUM(D37:O37)</f>
        <v>155040.00000000003</v>
      </c>
    </row>
    <row r="38">
      <c r="A38" s="3" t="s">
        <v>25</v>
      </c>
      <c r="B38" s="5"/>
      <c r="C38" s="5"/>
      <c r="D38" s="5">
        <v>152000</v>
      </c>
      <c r="E38" s="5">
        <v>152000</v>
      </c>
      <c r="F38" s="5">
        <v>152000</v>
      </c>
      <c r="G38" s="5">
        <v>152000</v>
      </c>
      <c r="H38" s="5">
        <v>152000</v>
      </c>
      <c r="I38" s="5">
        <v>152000</v>
      </c>
      <c r="J38" s="5">
        <v>152000</v>
      </c>
      <c r="K38" s="5">
        <v>152000</v>
      </c>
      <c r="L38" s="5">
        <v>152000</v>
      </c>
      <c r="M38" s="5">
        <v>152000</v>
      </c>
      <c r="N38" s="5">
        <v>152000</v>
      </c>
      <c r="O38" s="5">
        <v>152000</v>
      </c>
      <c r="P38" s="5">
        <f>SUM(D38:O38)</f>
        <v>1824000</v>
      </c>
    </row>
    <row r="39">
      <c r="A39" s="24" t="s">
        <v>26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5"/>
    </row>
    <row r="40">
      <c r="A40" s="3" t="s">
        <v>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>SUM(D40:O40)</f>
        <v>0</v>
      </c>
    </row>
    <row r="41">
      <c r="A41" s="3" t="s">
        <v>27</v>
      </c>
      <c r="B41" s="5"/>
      <c r="C41" s="10"/>
      <c r="D41" s="5">
        <v>2800</v>
      </c>
      <c r="E41" s="5">
        <v>2800</v>
      </c>
      <c r="F41" s="5">
        <v>2800</v>
      </c>
      <c r="G41" s="5">
        <v>2800</v>
      </c>
      <c r="H41" s="5">
        <v>2800</v>
      </c>
      <c r="I41" s="5">
        <v>2800</v>
      </c>
      <c r="J41" s="5">
        <v>2800</v>
      </c>
      <c r="K41" s="5">
        <v>2800</v>
      </c>
      <c r="L41" s="5">
        <v>2800</v>
      </c>
      <c r="M41" s="5">
        <v>2800</v>
      </c>
      <c r="N41" s="5">
        <v>2800</v>
      </c>
      <c r="O41" s="5">
        <v>2800</v>
      </c>
      <c r="P41" s="5">
        <f>SUM(D41:O41)</f>
        <v>33600</v>
      </c>
    </row>
    <row r="42">
      <c r="A42" s="3" t="s">
        <v>28</v>
      </c>
      <c r="B42" s="5"/>
      <c r="C42" s="1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3"/>
    </row>
    <row r="43">
      <c r="A43" s="3" t="s">
        <v>29</v>
      </c>
      <c r="B43" s="8">
        <f>SUM(B13:B42)</f>
        <v>0</v>
      </c>
      <c r="C43" s="10"/>
      <c r="D43" s="8">
        <f>SUM(D13:D42)</f>
        <v>269784.75</v>
      </c>
      <c r="E43" s="8">
        <f>SUM(E13:E42)</f>
        <v>270911.85</v>
      </c>
      <c r="F43" s="8">
        <f>SUM(F13:F42)</f>
        <v>273729.6</v>
      </c>
      <c r="G43" s="8">
        <f>SUM(G13:G42)</f>
        <v>274856.7</v>
      </c>
      <c r="H43" s="8">
        <f>SUM(H13:H42)</f>
        <v>276265.575</v>
      </c>
      <c r="I43" s="8">
        <f>SUM(I13:I42)</f>
        <v>276265.575</v>
      </c>
      <c r="J43" s="8">
        <f>SUM(J13:J42)</f>
        <v>276829.125</v>
      </c>
      <c r="K43" s="8">
        <f>SUM(K13:K42)</f>
        <v>277110.9</v>
      </c>
      <c r="L43" s="8">
        <f>SUM(L13:L42)</f>
        <v>279646.875</v>
      </c>
      <c r="M43" s="8">
        <f>SUM(M13:M42)</f>
        <v>278238</v>
      </c>
      <c r="N43" s="8">
        <f>SUM(N13:N42)</f>
        <v>275420.25</v>
      </c>
      <c r="O43" s="8">
        <f>SUM(O13:O42)</f>
        <v>274011.375</v>
      </c>
      <c r="P43" s="9">
        <f>SUM(D43:O43)</f>
        <v>3303070.5749999997</v>
      </c>
      <c r="Q43" s="18"/>
    </row>
    <row r="44">
      <c r="A44" s="23" t="s">
        <v>47</v>
      </c>
      <c r="B44" s="5"/>
      <c r="C44" s="11"/>
      <c r="D44" s="5">
        <f>D11-D43</f>
        <v>-10876.75</v>
      </c>
      <c r="E44" s="5">
        <f>E11-E43</f>
        <v>480.95000000001164</v>
      </c>
      <c r="F44" s="5">
        <f>F11-F43</f>
        <v>28875.20000000001</v>
      </c>
      <c r="G44" s="5">
        <f>G11-G43</f>
        <v>40232.899999999965</v>
      </c>
      <c r="H44" s="5">
        <f>H11-H43</f>
        <v>54430.024999999965</v>
      </c>
      <c r="I44" s="5">
        <f>I11-I43</f>
        <v>54430.024999999965</v>
      </c>
      <c r="J44" s="5">
        <f>J11-J43</f>
        <v>60108.875</v>
      </c>
      <c r="K44" s="5">
        <f>K11-K43</f>
        <v>62948.29999999993</v>
      </c>
      <c r="L44" s="5">
        <f>L11-L43</f>
        <v>88503.125</v>
      </c>
      <c r="M44" s="5">
        <f>M11-M43</f>
        <v>74306</v>
      </c>
      <c r="N44" s="5">
        <f>N11-N43</f>
        <v>45911.75</v>
      </c>
      <c r="O44" s="5">
        <f>O11-O43</f>
        <v>31714.625</v>
      </c>
      <c r="P44" s="6">
        <f>SUM(D44:O44)</f>
        <v>531065.0249999999</v>
      </c>
      <c r="Q44" s="18"/>
    </row>
    <row r="45">
      <c r="A45" s="3"/>
      <c r="B45" s="5"/>
      <c r="C45" s="1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/>
    </row>
    <row r="46">
      <c r="A46" s="3" t="s">
        <v>33</v>
      </c>
      <c r="B46" s="5"/>
      <c r="C46" s="10"/>
      <c r="D46" s="5">
        <v>2268</v>
      </c>
      <c r="E46" s="5">
        <v>2268</v>
      </c>
      <c r="F46" s="5">
        <v>2268</v>
      </c>
      <c r="G46" s="5">
        <v>2268</v>
      </c>
      <c r="H46" s="5">
        <v>2268</v>
      </c>
      <c r="I46" s="5">
        <v>2268</v>
      </c>
      <c r="J46" s="5">
        <v>2268</v>
      </c>
      <c r="K46" s="5">
        <v>2268</v>
      </c>
      <c r="L46" s="5">
        <v>2268</v>
      </c>
      <c r="M46" s="5">
        <v>2268</v>
      </c>
      <c r="N46" s="5">
        <v>2268</v>
      </c>
      <c r="O46" s="5">
        <v>2268</v>
      </c>
      <c r="P46" s="6">
        <f>SUM(D46:O46)</f>
        <v>27216</v>
      </c>
    </row>
    <row r="47">
      <c r="A47" t="s">
        <v>52</v>
      </c>
      <c r="B47" s="31">
        <v>820</v>
      </c>
      <c r="D47" s="31">
        <v>820</v>
      </c>
      <c r="E47" s="31">
        <v>820</v>
      </c>
      <c r="F47" s="31">
        <v>820</v>
      </c>
      <c r="G47" s="31">
        <v>820</v>
      </c>
      <c r="H47" s="31">
        <v>820</v>
      </c>
      <c r="I47" s="31">
        <v>820</v>
      </c>
      <c r="J47" s="31"/>
      <c r="K47" s="31"/>
      <c r="L47" s="31"/>
      <c r="M47" s="31"/>
      <c r="N47" s="31"/>
      <c r="O47" s="31"/>
      <c r="P47" s="6">
        <f>SUM(D47:O47)</f>
        <v>4920</v>
      </c>
    </row>
    <row r="48">
      <c r="A48" t="s">
        <v>53</v>
      </c>
      <c r="B48" s="31">
        <v>580</v>
      </c>
      <c r="D48" s="31">
        <v>580</v>
      </c>
      <c r="E48" s="31">
        <v>580</v>
      </c>
      <c r="F48" s="31">
        <v>580</v>
      </c>
      <c r="G48" s="31">
        <v>580</v>
      </c>
      <c r="H48" s="31">
        <v>580</v>
      </c>
      <c r="I48" s="31">
        <v>580</v>
      </c>
      <c r="J48" s="31">
        <v>580</v>
      </c>
      <c r="K48" s="31">
        <v>580</v>
      </c>
      <c r="L48" s="31">
        <v>580</v>
      </c>
      <c r="M48" s="31">
        <v>580</v>
      </c>
      <c r="N48" s="31">
        <v>580</v>
      </c>
      <c r="O48" s="31">
        <v>580</v>
      </c>
      <c r="P48" s="6">
        <f>SUM(D48:O48)</f>
        <v>6960</v>
      </c>
    </row>
    <row r="49">
      <c r="A49" t="s">
        <v>54</v>
      </c>
      <c r="B49" s="31">
        <v>600</v>
      </c>
      <c r="D49" s="31">
        <v>600</v>
      </c>
      <c r="E49" s="31">
        <v>600</v>
      </c>
      <c r="F49" s="31">
        <v>600</v>
      </c>
      <c r="G49" s="31">
        <v>600</v>
      </c>
      <c r="H49" s="31">
        <v>600</v>
      </c>
      <c r="I49" s="31">
        <v>600</v>
      </c>
      <c r="J49" s="31">
        <v>600</v>
      </c>
      <c r="K49" s="31">
        <v>600</v>
      </c>
      <c r="L49" s="31">
        <v>600</v>
      </c>
      <c r="M49" s="31"/>
      <c r="N49" s="31"/>
      <c r="O49" s="31"/>
      <c r="P49" s="6">
        <f>SUM(D49:O49)</f>
        <v>5400</v>
      </c>
    </row>
    <row r="50">
      <c r="A50" t="s">
        <v>55</v>
      </c>
      <c r="B50" s="31">
        <v>2400</v>
      </c>
      <c r="D50" s="31">
        <v>2400</v>
      </c>
      <c r="E50" s="31">
        <v>2400</v>
      </c>
      <c r="F50" s="31">
        <v>2400</v>
      </c>
      <c r="G50" s="31">
        <v>2400</v>
      </c>
      <c r="H50" s="31">
        <v>2400</v>
      </c>
      <c r="I50" s="31">
        <v>2400</v>
      </c>
      <c r="J50" s="31"/>
      <c r="K50" s="31"/>
      <c r="L50" s="31"/>
      <c r="M50" s="31"/>
      <c r="N50" s="31"/>
      <c r="O50" s="31"/>
      <c r="P50" s="6">
        <f>SUM(D50:O50)</f>
        <v>14400</v>
      </c>
    </row>
    <row r="51">
      <c r="A51" t="s">
        <v>56</v>
      </c>
      <c r="B51" s="31">
        <v>1500</v>
      </c>
      <c r="D51" s="31">
        <v>1500</v>
      </c>
      <c r="E51" s="31">
        <v>1500</v>
      </c>
      <c r="F51" s="31">
        <v>1500</v>
      </c>
      <c r="G51" s="31">
        <v>1500</v>
      </c>
      <c r="H51" s="31">
        <v>1500</v>
      </c>
      <c r="I51" s="31">
        <v>1500</v>
      </c>
      <c r="J51" s="31">
        <v>1500</v>
      </c>
      <c r="K51" s="31">
        <v>1500</v>
      </c>
      <c r="L51" s="31">
        <v>1500</v>
      </c>
      <c r="M51" s="31"/>
      <c r="N51" s="31"/>
      <c r="O51" s="31"/>
      <c r="P51" s="6">
        <f>SUM(D51:O51)</f>
        <v>13500</v>
      </c>
    </row>
    <row r="52">
      <c r="A52" t="s">
        <v>57</v>
      </c>
      <c r="B52" s="33">
        <v>1809</v>
      </c>
      <c r="D52" s="33">
        <v>1809</v>
      </c>
      <c r="E52" s="33">
        <v>1809</v>
      </c>
      <c r="F52" s="33">
        <v>1809</v>
      </c>
      <c r="G52" s="33">
        <v>1809</v>
      </c>
      <c r="H52" s="33">
        <v>1809</v>
      </c>
      <c r="I52" s="33">
        <v>1809</v>
      </c>
      <c r="J52" s="33">
        <v>1809</v>
      </c>
      <c r="K52" s="33">
        <v>1809</v>
      </c>
      <c r="L52" s="33">
        <v>1809</v>
      </c>
      <c r="M52" s="33"/>
      <c r="N52" s="33"/>
      <c r="O52" s="33"/>
      <c r="P52" s="6">
        <f>SUM(D52:O52)</f>
        <v>16281</v>
      </c>
    </row>
    <row r="53">
      <c r="A53" t="s">
        <v>64</v>
      </c>
      <c r="B53" s="33">
        <v>4100</v>
      </c>
      <c r="D53" s="33"/>
      <c r="E53" s="33"/>
      <c r="F53" s="33">
        <v>1000</v>
      </c>
      <c r="G53" s="33">
        <v>2000</v>
      </c>
      <c r="H53" s="33">
        <v>4100</v>
      </c>
      <c r="I53" s="33">
        <v>4100</v>
      </c>
      <c r="J53" s="33">
        <v>4100</v>
      </c>
      <c r="K53" s="33">
        <v>5000</v>
      </c>
      <c r="L53" s="33">
        <v>6000</v>
      </c>
      <c r="M53" s="33">
        <v>7000</v>
      </c>
      <c r="N53" s="33">
        <v>7000</v>
      </c>
      <c r="O53" s="33">
        <v>7000</v>
      </c>
      <c r="P53" s="6">
        <f>SUM(D53:O53)</f>
        <v>47300</v>
      </c>
    </row>
    <row r="54">
      <c r="A54" t="s">
        <v>58</v>
      </c>
      <c r="B54" s="35">
        <v>2100</v>
      </c>
      <c r="D54" s="35">
        <v>2100</v>
      </c>
      <c r="E54" s="35">
        <v>2100</v>
      </c>
      <c r="F54" s="35">
        <v>2100</v>
      </c>
      <c r="G54" s="35">
        <v>2100</v>
      </c>
      <c r="H54" s="35">
        <v>2100</v>
      </c>
      <c r="I54" s="35"/>
      <c r="J54" s="35"/>
      <c r="K54" s="35"/>
      <c r="L54" s="35"/>
      <c r="M54" s="35"/>
      <c r="N54" s="35"/>
      <c r="O54" s="35"/>
      <c r="P54" s="6">
        <f>SUM(D54:O54)</f>
        <v>10500</v>
      </c>
    </row>
    <row r="55">
      <c r="A55" s="3" t="s">
        <v>62</v>
      </c>
      <c r="B55" s="5"/>
      <c r="C55" s="10"/>
      <c r="D55" s="5">
        <f>SUM(D46:D54)</f>
        <v>12077</v>
      </c>
      <c r="E55" s="5">
        <f>SUM(E46:E54)</f>
        <v>12077</v>
      </c>
      <c r="F55" s="5">
        <f>SUM(F46:F54)</f>
        <v>13077</v>
      </c>
      <c r="G55" s="5">
        <f>SUM(G46:G54)</f>
        <v>14077</v>
      </c>
      <c r="H55" s="5">
        <f>SUM(H46:H54)</f>
        <v>16177</v>
      </c>
      <c r="I55" s="5">
        <f>SUM(I46:I54)</f>
        <v>14077</v>
      </c>
      <c r="J55" s="5">
        <f>SUM(J46:J54)</f>
        <v>10857</v>
      </c>
      <c r="K55" s="5">
        <f>SUM(K46:K54)</f>
        <v>11757</v>
      </c>
      <c r="L55" s="5">
        <f>SUM(L46:L54)</f>
        <v>12757</v>
      </c>
      <c r="M55" s="5">
        <f>SUM(M46:M54)</f>
        <v>9848</v>
      </c>
      <c r="N55" s="5">
        <f>SUM(N46:N54)</f>
        <v>9848</v>
      </c>
      <c r="O55" s="5">
        <f>SUM(O46:O54)</f>
        <v>9848</v>
      </c>
      <c r="P55" s="6">
        <f>SUM(D55:O55)</f>
        <v>146477</v>
      </c>
    </row>
    <row r="56">
      <c r="A56" s="3"/>
      <c r="B56" s="5"/>
      <c r="C56" s="10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/>
    </row>
    <row r="57">
      <c r="A57" s="3" t="s">
        <v>63</v>
      </c>
      <c r="B57" s="5"/>
      <c r="C57" s="10"/>
      <c r="D57" s="5">
        <f>D44-D55</f>
        <v>-22953.75</v>
      </c>
      <c r="E57" s="5">
        <f>E44-E55</f>
        <v>-11596.049999999988</v>
      </c>
      <c r="F57" s="5">
        <f>F44-F55</f>
        <v>15798.200000000012</v>
      </c>
      <c r="G57" s="5">
        <f>G44-G55</f>
        <v>26155.899999999965</v>
      </c>
      <c r="H57" s="5">
        <f>H44-H55</f>
        <v>38253.024999999965</v>
      </c>
      <c r="I57" s="5">
        <f>I44-I55</f>
        <v>40353.024999999965</v>
      </c>
      <c r="J57" s="5">
        <f>J44-J55</f>
        <v>49251.875</v>
      </c>
      <c r="K57" s="5">
        <f>K44-K55</f>
        <v>51191.29999999993</v>
      </c>
      <c r="L57" s="5">
        <f>L44-L55</f>
        <v>75746.125</v>
      </c>
      <c r="M57" s="5">
        <f>M44-M55</f>
        <v>64458</v>
      </c>
      <c r="N57" s="5">
        <f>N44-N55</f>
        <v>36063.75</v>
      </c>
      <c r="O57" s="5">
        <f>O44-O55</f>
        <v>21866.625</v>
      </c>
      <c r="P57" s="5">
        <f>P44-P55</f>
        <v>384588.0249999999</v>
      </c>
    </row>
    <row r="58">
      <c r="A58" s="3" t="s">
        <v>35</v>
      </c>
      <c r="B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7"/>
    </row>
    <row r="59">
      <c r="A59" s="3" t="s">
        <v>36</v>
      </c>
      <c r="B59" s="5"/>
      <c r="D59" s="3"/>
      <c r="E59" s="3"/>
      <c r="F59" s="36"/>
      <c r="G59" s="36"/>
      <c r="H59" s="36"/>
      <c r="I59" s="36">
        <v>85000</v>
      </c>
      <c r="J59" s="36"/>
      <c r="K59" s="36"/>
      <c r="L59" s="36">
        <v>175000</v>
      </c>
      <c r="M59" s="36"/>
      <c r="N59" s="36"/>
      <c r="O59" s="36">
        <v>123000</v>
      </c>
      <c r="P59" s="39">
        <f>SUM(D59:O59)</f>
        <v>383000</v>
      </c>
    </row>
    <row r="60">
      <c r="A60" s="3" t="s">
        <v>37</v>
      </c>
      <c r="B60" s="5"/>
      <c r="D60" s="3"/>
      <c r="E60" s="3"/>
      <c r="F60" s="3"/>
      <c r="G60" s="3"/>
      <c r="H60" s="3"/>
      <c r="I60" s="6"/>
      <c r="J60" s="3"/>
      <c r="K60" s="3"/>
      <c r="L60" s="3"/>
      <c r="M60" s="3"/>
      <c r="N60" s="3"/>
      <c r="O60" s="6">
        <v>1000</v>
      </c>
      <c r="P60" s="38">
        <f>SUM(O60)</f>
        <v>1000</v>
      </c>
    </row>
    <row r="61">
      <c r="A61" s="3"/>
      <c r="B61" s="5"/>
      <c r="C61" s="10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3"/>
    </row>
    <row r="62">
      <c r="A62" s="3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3"/>
    </row>
    <row r="63">
      <c r="A63" s="3"/>
      <c r="B63" s="5"/>
      <c r="C63" s="1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/>
    </row>
    <row r="64">
      <c r="A64" s="3"/>
      <c r="B64" s="5"/>
      <c r="C64" s="10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/>
    </row>
    <row r="65">
      <c r="A65" s="3"/>
      <c r="B65" s="5"/>
      <c r="C65" s="1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3"/>
    </row>
    <row r="66">
      <c r="A66" s="3"/>
      <c r="B66" s="5"/>
      <c r="C66" s="1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3"/>
    </row>
    <row r="67">
      <c r="A67" s="3"/>
      <c r="B67" s="5"/>
      <c r="C67" s="1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/>
    </row>
    <row r="68">
      <c r="A68" s="3"/>
      <c r="B68" s="5"/>
      <c r="C68" s="1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3"/>
    </row>
    <row r="69">
      <c r="A69" s="3"/>
      <c r="B69" s="5"/>
      <c r="C69" s="1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/>
    </row>
    <row r="70">
      <c r="A70" s="3"/>
      <c r="B70" s="5"/>
      <c r="C70" s="1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3"/>
    </row>
    <row r="71">
      <c r="A71" s="3"/>
      <c r="B71" s="5"/>
      <c r="C71" s="1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</row>
    <row r="72">
      <c r="A72" s="3"/>
      <c r="B72" s="5"/>
      <c r="C72" s="1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</row>
    <row r="73">
      <c r="A73" s="3"/>
      <c r="B73" s="5"/>
      <c r="C73" s="1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/>
    </row>
    <row r="74">
      <c r="A74" s="3"/>
      <c r="B74" s="5"/>
      <c r="C74" s="1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3"/>
    </row>
    <row r="75">
      <c r="A75" s="3"/>
      <c r="B75" s="5"/>
      <c r="C75" s="1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</row>
    <row r="76">
      <c r="A76" s="3"/>
      <c r="B76" s="5"/>
      <c r="C76" s="1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/>
    </row>
    <row r="77">
      <c r="A77" s="3"/>
      <c r="B77" s="5"/>
      <c r="C77" s="1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3"/>
    </row>
    <row r="78">
      <c r="A78" s="3"/>
      <c r="B78" s="5"/>
      <c r="C78" s="1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/>
    </row>
    <row r="79">
      <c r="A79" s="3"/>
      <c r="B79" s="5"/>
      <c r="C79" s="1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/>
    </row>
    <row r="80">
      <c r="A80" s="3"/>
      <c r="B80" s="5"/>
      <c r="C80" s="1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/>
    </row>
    <row r="81">
      <c r="A81" s="3"/>
      <c r="B81" s="5"/>
      <c r="C81" s="1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>
      <c r="A82" s="3"/>
      <c r="B82" s="5"/>
      <c r="C82" s="1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3"/>
    </row>
    <row r="83">
      <c r="A83" s="3"/>
      <c r="B83" s="5"/>
      <c r="C83" s="1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/>
    </row>
    <row r="84">
      <c r="A84" s="3"/>
      <c r="B84" s="5"/>
      <c r="C84" s="1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3"/>
    </row>
    <row r="85">
      <c r="A85" s="3"/>
      <c r="B85" s="5"/>
      <c r="C85" s="1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/>
    </row>
    <row r="86">
      <c r="A86" s="3"/>
      <c r="B86" s="5"/>
      <c r="C86" s="1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/>
    </row>
    <row r="87">
      <c r="A87" s="3"/>
      <c r="B87" s="5"/>
      <c r="C87" s="1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/>
    </row>
    <row r="88">
      <c r="A88" s="3"/>
      <c r="B88" s="5"/>
      <c r="C88" s="1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3"/>
    </row>
    <row r="89">
      <c r="A89" s="3"/>
      <c r="B89" s="5"/>
      <c r="C89" s="1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/>
    </row>
    <row r="90">
      <c r="A90" s="3"/>
      <c r="B90" s="5"/>
      <c r="C90" s="1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/>
    </row>
    <row r="91">
      <c r="A91" s="3"/>
      <c r="B91" s="5"/>
      <c r="C91" s="1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6"/>
    </row>
    <row r="92">
      <c r="A92" s="3"/>
      <c r="B92" s="5"/>
      <c r="C92" s="1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3"/>
    </row>
    <row r="93">
      <c r="A93" s="3"/>
      <c r="B93" s="5"/>
      <c r="C93" s="1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/>
    </row>
    <row r="94">
      <c r="A94" s="3"/>
      <c r="B94" s="5"/>
      <c r="C94" s="1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3"/>
    </row>
    <row r="95">
      <c r="A95" s="3"/>
      <c r="B95" s="5"/>
      <c r="C95" s="10"/>
      <c r="D95" s="5"/>
      <c r="E95" s="12"/>
      <c r="F95" s="5"/>
      <c r="G95" s="5"/>
      <c r="H95" s="5"/>
      <c r="I95" s="5"/>
      <c r="J95" s="5"/>
      <c r="K95" s="5"/>
      <c r="L95" s="5"/>
      <c r="M95" s="5"/>
      <c r="N95" s="5"/>
      <c r="O95" s="5"/>
      <c r="P95" s="6"/>
    </row>
    <row r="96">
      <c r="A96" s="3"/>
      <c r="B96" s="5"/>
      <c r="C96" s="13"/>
      <c r="D96" s="5"/>
      <c r="E96" s="12"/>
      <c r="F96" s="5"/>
      <c r="G96" s="5"/>
      <c r="H96" s="5"/>
      <c r="I96" s="5"/>
      <c r="J96" s="5"/>
      <c r="K96" s="5"/>
      <c r="L96" s="5"/>
      <c r="M96" s="5"/>
      <c r="N96" s="5"/>
      <c r="O96" s="5"/>
      <c r="P96" s="6"/>
    </row>
    <row r="97">
      <c r="A97" s="3"/>
      <c r="B97" s="5"/>
      <c r="C97" s="13"/>
      <c r="D97" s="5"/>
      <c r="E97" s="12"/>
      <c r="F97" s="5"/>
      <c r="G97" s="5"/>
      <c r="H97" s="5"/>
      <c r="I97" s="5"/>
      <c r="J97" s="5"/>
      <c r="K97" s="5"/>
      <c r="L97" s="5"/>
      <c r="M97" s="5"/>
      <c r="N97" s="5"/>
      <c r="O97" s="5"/>
      <c r="P97" s="6"/>
    </row>
    <row r="98">
      <c r="A98" s="3"/>
      <c r="B98" s="5"/>
      <c r="C98" s="1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3"/>
    </row>
    <row r="99">
      <c r="A99" s="3"/>
      <c r="B99" s="5"/>
      <c r="C99" s="10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/>
    </row>
    <row r="100">
      <c r="A100" s="3"/>
      <c r="B100" s="5"/>
      <c r="C100" s="1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/>
    </row>
    <row r="101">
      <c r="A101" s="3"/>
      <c r="B101" s="5"/>
      <c r="C101" s="1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/>
    </row>
    <row r="102">
      <c r="A102" s="3"/>
      <c r="B102" s="5"/>
      <c r="C102" s="1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/>
    </row>
    <row r="103">
      <c r="A103" s="3"/>
      <c r="B103" s="5"/>
      <c r="C103" s="1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3"/>
    </row>
    <row r="104">
      <c r="A104" s="3"/>
      <c r="B104" s="5"/>
      <c r="C104" s="1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3"/>
    </row>
    <row r="105">
      <c r="A105" s="3"/>
      <c r="B105" s="5"/>
      <c r="C105" s="1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3"/>
    </row>
    <row r="106">
      <c r="A106" s="3"/>
      <c r="B106" s="5"/>
      <c r="C106" s="1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6"/>
    </row>
    <row r="107">
      <c r="A107" s="3"/>
      <c r="B107" s="8"/>
      <c r="C107" s="1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9"/>
    </row>
    <row r="108">
      <c r="A108" s="3"/>
      <c r="B108" s="5"/>
      <c r="C108" s="1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6"/>
    </row>
    <row r="109">
      <c r="A109" s="3"/>
      <c r="B109" s="5"/>
      <c r="C109" s="1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6"/>
    </row>
    <row r="110">
      <c r="A110" s="3"/>
      <c r="B110" s="5"/>
      <c r="C110" s="10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6"/>
    </row>
    <row r="111">
      <c r="A111" s="3"/>
      <c r="B111" s="8"/>
      <c r="C111" s="1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9"/>
    </row>
    <row r="112">
      <c r="A112" s="14"/>
      <c r="B112" s="15"/>
      <c r="C112" s="10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5">
      <c r="A115" s="3"/>
      <c r="B115" s="3"/>
      <c r="C115" s="3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>
      <c r="A117" s="3"/>
      <c r="B117" s="3"/>
      <c r="C117" s="3"/>
      <c r="D117" s="3"/>
      <c r="E117" s="3"/>
      <c r="F117" s="3"/>
      <c r="G117" s="6"/>
      <c r="H117" s="3"/>
      <c r="I117" s="3"/>
      <c r="J117" s="3"/>
      <c r="K117" s="3"/>
      <c r="L117" s="3"/>
      <c r="M117" s="6"/>
      <c r="N117" s="3"/>
      <c r="O117" s="3"/>
      <c r="P117" s="6"/>
    </row>
    <row r="119">
      <c r="I119" s="18"/>
    </row>
    <row r="120">
      <c r="N120" s="18"/>
    </row>
  </sheetData>
  <pageMargins left="0.25" right="0.25" top="0.25" bottom="0" header="0.3" footer="0.3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03"/>
  <sheetViews>
    <sheetView topLeftCell="B43" workbookViewId="0">
      <selection activeCell="L62" sqref="L62"/>
    </sheetView>
  </sheetViews>
  <sheetFormatPr defaultRowHeight="15.75" x14ac:dyDescent="0.25" outlineLevelRow="0" outlineLevelCol="0"/>
  <cols>
    <col min="1" max="1" width="29.625" customWidth="1"/>
    <col min="2" max="2" width="12.125" customWidth="1"/>
    <col min="3" max="3" width="6.625" customWidth="1"/>
    <col min="4" max="4" width="12.75" customWidth="1"/>
    <col min="5" max="5" width="12.25" customWidth="1"/>
    <col min="6" max="6" width="12.125" bestFit="1" customWidth="1"/>
    <col min="7" max="7" width="12.125" bestFit="1" customWidth="1"/>
    <col min="8" max="8" width="12.125" bestFit="1" customWidth="1"/>
    <col min="9" max="9" width="12.125" bestFit="1" customWidth="1"/>
    <col min="10" max="10" width="12.125" bestFit="1" customWidth="1"/>
    <col min="11" max="11" width="12.125" bestFit="1" customWidth="1"/>
    <col min="12" max="12" width="12.125" bestFit="1" customWidth="1"/>
    <col min="13" max="13" width="12.125" bestFit="1" customWidth="1"/>
    <col min="14" max="14" width="12.125" bestFit="1" customWidth="1"/>
    <col min="15" max="15" width="12.375" customWidth="1"/>
    <col min="16" max="16" width="15.875" customWidth="1"/>
    <col min="17" max="17" width="12.125" customWidth="1"/>
  </cols>
  <sheetData>
    <row r="1">
      <c r="A1" s="3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3" t="s">
        <v>0</v>
      </c>
      <c r="B2" s="4" t="s">
        <v>34</v>
      </c>
      <c r="C2" s="3"/>
      <c r="D2" s="4">
        <v>47147</v>
      </c>
      <c r="E2" s="4">
        <v>47177</v>
      </c>
      <c r="F2" s="4">
        <v>47206</v>
      </c>
      <c r="G2" s="4">
        <v>47237</v>
      </c>
      <c r="H2" s="4">
        <v>47267</v>
      </c>
      <c r="I2" s="4">
        <v>47298</v>
      </c>
      <c r="J2" s="4">
        <v>47328</v>
      </c>
      <c r="K2" s="4">
        <v>47359</v>
      </c>
      <c r="L2" s="4">
        <v>47390</v>
      </c>
      <c r="M2" s="4">
        <v>47420</v>
      </c>
      <c r="N2" s="4">
        <v>47451</v>
      </c>
      <c r="O2" s="4">
        <v>47481</v>
      </c>
      <c r="P2" s="3"/>
    </row>
    <row r="3">
      <c r="A3" s="3" t="s">
        <v>1</v>
      </c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32</v>
      </c>
      <c r="P3" s="3"/>
    </row>
    <row r="4">
      <c r="A4" s="3" t="s">
        <v>39</v>
      </c>
      <c r="B4" s="3"/>
      <c r="C4" s="5"/>
      <c r="D4" s="3">
        <v>470</v>
      </c>
      <c r="E4" s="3">
        <v>495</v>
      </c>
      <c r="F4" s="3">
        <v>545</v>
      </c>
      <c r="G4" s="3">
        <v>565</v>
      </c>
      <c r="H4" s="3">
        <v>590</v>
      </c>
      <c r="I4" s="3">
        <v>590</v>
      </c>
      <c r="J4" s="3">
        <v>600</v>
      </c>
      <c r="K4" s="3">
        <v>600</v>
      </c>
      <c r="L4" s="3">
        <v>650</v>
      </c>
      <c r="M4" s="3">
        <v>600</v>
      </c>
      <c r="N4" s="3">
        <v>575</v>
      </c>
      <c r="O4" s="3">
        <v>550</v>
      </c>
      <c r="P4" s="3" t="s">
        <v>31</v>
      </c>
    </row>
    <row r="5">
      <c r="A5" s="3" t="s">
        <v>40</v>
      </c>
      <c r="B5" s="5"/>
      <c r="C5" s="10"/>
      <c r="D5" s="5">
        <f>870*D4</f>
        <v>408900</v>
      </c>
      <c r="E5" s="5">
        <f>870*E4</f>
        <v>430650</v>
      </c>
      <c r="F5" s="5">
        <f>870*F4</f>
        <v>474150</v>
      </c>
      <c r="G5" s="5">
        <f>870*G4</f>
        <v>491550</v>
      </c>
      <c r="H5" s="5">
        <f>870*H4</f>
        <v>513300</v>
      </c>
      <c r="I5" s="5">
        <f>870*I4</f>
        <v>513300</v>
      </c>
      <c r="J5" s="5">
        <f>870*J4</f>
        <v>522000</v>
      </c>
      <c r="K5" s="5">
        <f>870*K4</f>
        <v>522000</v>
      </c>
      <c r="L5" s="5">
        <f>870*L4</f>
        <v>565500</v>
      </c>
      <c r="M5" s="5">
        <f>870*M4</f>
        <v>522000</v>
      </c>
      <c r="N5" s="5">
        <f>870*N4</f>
        <v>500250</v>
      </c>
      <c r="O5" s="5">
        <f>870*O4</f>
        <v>478500</v>
      </c>
      <c r="P5" s="6">
        <f>SUM(D5:O5)</f>
        <v>5942100</v>
      </c>
    </row>
    <row r="6">
      <c r="A6" s="3" t="s">
        <v>49</v>
      </c>
      <c r="B6" s="3"/>
      <c r="C6" s="10"/>
      <c r="D6" s="6">
        <f>D5/D4</f>
        <v>870</v>
      </c>
      <c r="E6" s="6">
        <f>E5/E4</f>
        <v>870</v>
      </c>
      <c r="F6" s="6">
        <f>F5/F4</f>
        <v>870</v>
      </c>
      <c r="G6" s="6">
        <f>G5/G4</f>
        <v>870</v>
      </c>
      <c r="H6" s="6">
        <f>H5/H4</f>
        <v>870</v>
      </c>
      <c r="I6" s="6">
        <f>I5/I4</f>
        <v>870</v>
      </c>
      <c r="J6" s="6">
        <f>J5/J4</f>
        <v>870</v>
      </c>
      <c r="K6" s="6">
        <f>K5/K4</f>
        <v>870</v>
      </c>
      <c r="L6" s="6">
        <f>L5/L4</f>
        <v>870</v>
      </c>
      <c r="M6" s="6">
        <f>M5/M4</f>
        <v>870</v>
      </c>
      <c r="N6" s="6">
        <f>N5/N4</f>
        <v>870</v>
      </c>
      <c r="O6" s="6">
        <f>O5/O4</f>
        <v>870</v>
      </c>
      <c r="P6" s="6"/>
    </row>
    <row r="7">
      <c r="A7" s="3" t="s">
        <v>2</v>
      </c>
      <c r="B7" s="3"/>
      <c r="C7" s="10"/>
      <c r="D7" s="3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6"/>
    </row>
    <row r="8">
      <c r="A8" s="17" t="s">
        <v>43</v>
      </c>
      <c r="B8" s="3"/>
      <c r="C8" s="3"/>
      <c r="D8" s="3">
        <v>23000</v>
      </c>
      <c r="E8" s="3">
        <v>23000</v>
      </c>
      <c r="F8" s="3">
        <v>23000</v>
      </c>
      <c r="G8" s="3">
        <v>23000</v>
      </c>
      <c r="H8" s="3">
        <v>23000</v>
      </c>
      <c r="I8" s="3">
        <v>23000</v>
      </c>
      <c r="J8" s="3">
        <v>23000</v>
      </c>
      <c r="K8" s="3">
        <v>23000</v>
      </c>
      <c r="L8" s="3">
        <v>23000</v>
      </c>
      <c r="M8" s="3">
        <v>23000</v>
      </c>
      <c r="N8" s="3">
        <v>23000</v>
      </c>
      <c r="O8" s="3">
        <v>23000</v>
      </c>
      <c r="P8" s="6">
        <f>SUM(D8:O8)</f>
        <v>276000</v>
      </c>
    </row>
    <row r="9">
      <c r="A9" s="7" t="s">
        <v>3</v>
      </c>
      <c r="B9" s="9">
        <f>B5+B6+B7-B8</f>
        <v>0</v>
      </c>
      <c r="C9" s="9">
        <f>C5+C6+C7-C8</f>
        <v>0</v>
      </c>
      <c r="D9" s="9">
        <f>D5+D6-D8</f>
        <v>386770</v>
      </c>
      <c r="E9" s="9">
        <f>E5+E6-E8</f>
        <v>408520</v>
      </c>
      <c r="F9" s="9">
        <f>F5+F6-F8</f>
        <v>452020</v>
      </c>
      <c r="G9" s="9">
        <f>G5+G6-G8</f>
        <v>469420</v>
      </c>
      <c r="H9" s="9">
        <f>H5+H6-H8</f>
        <v>491170</v>
      </c>
      <c r="I9" s="9">
        <f>I5+I6-I8</f>
        <v>491170</v>
      </c>
      <c r="J9" s="9">
        <f>J5+J6-J8</f>
        <v>499870</v>
      </c>
      <c r="K9" s="9">
        <f>K5+K6-K8</f>
        <v>499870</v>
      </c>
      <c r="L9" s="9">
        <f>L5+L6-L8</f>
        <v>543370</v>
      </c>
      <c r="M9" s="9">
        <f>M5+M6-M8</f>
        <v>499870</v>
      </c>
      <c r="N9" s="9">
        <f>N5+N6-N8</f>
        <v>478120</v>
      </c>
      <c r="O9" s="9">
        <f>O5+O6-O8</f>
        <v>456370</v>
      </c>
      <c r="P9" s="9">
        <f>P5+P6+P7-P8</f>
        <v>5666100</v>
      </c>
    </row>
    <row r="10">
      <c r="A10" s="22" t="s">
        <v>48</v>
      </c>
      <c r="B10" s="6">
        <f>B5*25%</f>
        <v>0</v>
      </c>
      <c r="C10" s="27">
        <v>0.29</v>
      </c>
      <c r="D10" s="6">
        <f>D5*29%</f>
        <v>118580.99999999999</v>
      </c>
      <c r="E10" s="6">
        <f>E5*29%</f>
        <v>124888.49999999999</v>
      </c>
      <c r="F10" s="6">
        <f>F5*29%</f>
        <v>137503.5</v>
      </c>
      <c r="G10" s="6">
        <f>G5*29%</f>
        <v>142549.5</v>
      </c>
      <c r="H10" s="6">
        <f>H5*29%</f>
        <v>148857</v>
      </c>
      <c r="I10" s="6">
        <f>I5*29%</f>
        <v>148857</v>
      </c>
      <c r="J10" s="6">
        <f>J5*29%</f>
        <v>151380</v>
      </c>
      <c r="K10" s="6">
        <f>K5*29%</f>
        <v>151380</v>
      </c>
      <c r="L10" s="6">
        <f>L5*29%</f>
        <v>163995</v>
      </c>
      <c r="M10" s="6">
        <f>M5*29%</f>
        <v>151380</v>
      </c>
      <c r="N10" s="6">
        <f>N5*29%</f>
        <v>145072.5</v>
      </c>
      <c r="O10" s="6">
        <f>O5*29%</f>
        <v>138765</v>
      </c>
      <c r="P10" s="6">
        <f>SUM(D10:O10)</f>
        <v>1723209</v>
      </c>
    </row>
    <row r="11">
      <c r="A11" s="7" t="s">
        <v>4</v>
      </c>
      <c r="B11" s="8">
        <f>B10</f>
        <v>0</v>
      </c>
      <c r="C11" s="8"/>
      <c r="D11" s="8">
        <f>D10</f>
        <v>118580.99999999999</v>
      </c>
      <c r="E11" s="8">
        <f>E10</f>
        <v>124888.49999999999</v>
      </c>
      <c r="F11" s="8">
        <f>F10</f>
        <v>137503.5</v>
      </c>
      <c r="G11" s="8">
        <f>G10</f>
        <v>142549.5</v>
      </c>
      <c r="H11" s="8">
        <f>H10</f>
        <v>148857</v>
      </c>
      <c r="I11" s="8">
        <f>I10</f>
        <v>148857</v>
      </c>
      <c r="J11" s="8">
        <f>J10</f>
        <v>151380</v>
      </c>
      <c r="K11" s="8">
        <f>K10</f>
        <v>151380</v>
      </c>
      <c r="L11" s="8">
        <f>L10</f>
        <v>163995</v>
      </c>
      <c r="M11" s="8">
        <f>M10</f>
        <v>151380</v>
      </c>
      <c r="N11" s="8">
        <f>N10</f>
        <v>145072.5</v>
      </c>
      <c r="O11" s="8">
        <f>O10</f>
        <v>138765</v>
      </c>
      <c r="P11" s="8">
        <f>P10</f>
        <v>1723209</v>
      </c>
    </row>
    <row r="12">
      <c r="A12" s="7" t="s">
        <v>46</v>
      </c>
      <c r="B12" s="8">
        <f>B9-B11</f>
        <v>0</v>
      </c>
      <c r="C12" s="8"/>
      <c r="D12" s="8">
        <f>D9-D11</f>
        <v>268189</v>
      </c>
      <c r="E12" s="8">
        <f>E9-E11</f>
        <v>283631.5</v>
      </c>
      <c r="F12" s="8">
        <f>F9-F11</f>
        <v>314516.5</v>
      </c>
      <c r="G12" s="8">
        <f>G9-G11</f>
        <v>326870.5</v>
      </c>
      <c r="H12" s="8">
        <f>H9-H11</f>
        <v>342313</v>
      </c>
      <c r="I12" s="8">
        <f>I9-I11</f>
        <v>342313</v>
      </c>
      <c r="J12" s="8">
        <f>J9-J11</f>
        <v>348490</v>
      </c>
      <c r="K12" s="8">
        <f>K9-K11</f>
        <v>348490</v>
      </c>
      <c r="L12" s="8">
        <f>L9-L11</f>
        <v>379375</v>
      </c>
      <c r="M12" s="8">
        <f>M9-M11</f>
        <v>348490</v>
      </c>
      <c r="N12" s="8">
        <f>N9-N11</f>
        <v>333047.5</v>
      </c>
      <c r="O12" s="8">
        <f>O9-O11</f>
        <v>317605</v>
      </c>
      <c r="P12" s="8">
        <f>P9-P11</f>
        <v>3942891</v>
      </c>
    </row>
    <row r="13">
      <c r="A13" s="28" t="s">
        <v>5</v>
      </c>
      <c r="B13" s="3"/>
      <c r="C13" s="1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 t="s">
        <v>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>
      <c r="A15" s="23" t="s">
        <v>7</v>
      </c>
      <c r="B15" s="5"/>
      <c r="C15" s="5"/>
      <c r="D15" s="5">
        <v>8000</v>
      </c>
      <c r="E15" s="5">
        <v>8000</v>
      </c>
      <c r="F15" s="5">
        <v>8000</v>
      </c>
      <c r="G15" s="5">
        <v>8000</v>
      </c>
      <c r="H15" s="5">
        <v>8000</v>
      </c>
      <c r="I15" s="5">
        <v>8000</v>
      </c>
      <c r="J15" s="5">
        <v>8000</v>
      </c>
      <c r="K15" s="5">
        <v>8000</v>
      </c>
      <c r="L15" s="5">
        <v>8000</v>
      </c>
      <c r="M15" s="5">
        <v>8000</v>
      </c>
      <c r="N15" s="5">
        <v>8000</v>
      </c>
      <c r="O15" s="5">
        <v>8000</v>
      </c>
      <c r="P15" s="5">
        <f>SUM(D15:O15)</f>
        <v>96000</v>
      </c>
    </row>
    <row r="16">
      <c r="A16" s="23" t="s">
        <v>41</v>
      </c>
      <c r="B16" s="5"/>
      <c r="C16" s="5"/>
      <c r="D16" s="5">
        <v>2500</v>
      </c>
      <c r="E16" s="5">
        <v>2500</v>
      </c>
      <c r="F16" s="5">
        <v>2500</v>
      </c>
      <c r="G16" s="5">
        <v>2500</v>
      </c>
      <c r="H16" s="5">
        <v>2500</v>
      </c>
      <c r="I16" s="5">
        <v>2500</v>
      </c>
      <c r="J16" s="5">
        <v>2500</v>
      </c>
      <c r="K16" s="5">
        <v>2500</v>
      </c>
      <c r="L16" s="5">
        <v>2500</v>
      </c>
      <c r="M16" s="5">
        <v>2500</v>
      </c>
      <c r="N16" s="5">
        <v>2500</v>
      </c>
      <c r="O16" s="5">
        <v>2500</v>
      </c>
      <c r="P16" s="5">
        <f>SUM(D16:O16)</f>
        <v>30000</v>
      </c>
    </row>
    <row r="17">
      <c r="A17" s="23" t="s">
        <v>42</v>
      </c>
      <c r="B17" s="5"/>
      <c r="C17" s="5"/>
      <c r="D17" s="5">
        <v>650</v>
      </c>
      <c r="E17" s="5">
        <v>650</v>
      </c>
      <c r="F17" s="5">
        <v>650</v>
      </c>
      <c r="G17" s="5">
        <v>650</v>
      </c>
      <c r="H17" s="5">
        <v>650</v>
      </c>
      <c r="I17" s="5">
        <v>650</v>
      </c>
      <c r="J17" s="5">
        <v>650</v>
      </c>
      <c r="K17" s="5">
        <v>650</v>
      </c>
      <c r="L17" s="5">
        <v>650</v>
      </c>
      <c r="M17" s="5">
        <v>650</v>
      </c>
      <c r="N17" s="5">
        <v>650</v>
      </c>
      <c r="O17" s="5">
        <v>650</v>
      </c>
      <c r="P17" s="5">
        <f>SUM(D17:O17)</f>
        <v>7800</v>
      </c>
    </row>
    <row r="18">
      <c r="A18" s="24" t="s">
        <v>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5"/>
    </row>
    <row r="19">
      <c r="A19" s="3" t="s">
        <v>9</v>
      </c>
      <c r="B19" s="5"/>
      <c r="C19" s="5"/>
      <c r="D19" s="5">
        <v>8000</v>
      </c>
      <c r="E19" s="5">
        <v>8000</v>
      </c>
      <c r="F19" s="5">
        <v>8000</v>
      </c>
      <c r="G19" s="5">
        <v>8000</v>
      </c>
      <c r="H19" s="5">
        <v>8000</v>
      </c>
      <c r="I19" s="5">
        <v>8000</v>
      </c>
      <c r="J19" s="5">
        <v>8000</v>
      </c>
      <c r="K19" s="5">
        <v>8000</v>
      </c>
      <c r="L19" s="5">
        <v>8000</v>
      </c>
      <c r="M19" s="5">
        <v>8000</v>
      </c>
      <c r="N19" s="5">
        <v>8000</v>
      </c>
      <c r="O19" s="5">
        <v>8000</v>
      </c>
      <c r="P19" s="5">
        <f>SUM(D19:O19)</f>
        <v>96000</v>
      </c>
    </row>
    <row r="20">
      <c r="A20" s="22" t="s">
        <v>10</v>
      </c>
      <c r="B20" s="5"/>
      <c r="C20" s="5"/>
      <c r="D20" s="5">
        <v>750</v>
      </c>
      <c r="E20" s="5">
        <v>750</v>
      </c>
      <c r="F20" s="5">
        <v>750</v>
      </c>
      <c r="G20" s="5">
        <v>750</v>
      </c>
      <c r="H20" s="5">
        <v>750</v>
      </c>
      <c r="I20" s="5">
        <v>750</v>
      </c>
      <c r="J20" s="5">
        <v>750</v>
      </c>
      <c r="K20" s="5">
        <v>750</v>
      </c>
      <c r="L20" s="5">
        <v>750</v>
      </c>
      <c r="M20" s="5">
        <v>750</v>
      </c>
      <c r="N20" s="5">
        <v>750</v>
      </c>
      <c r="O20" s="5">
        <v>750</v>
      </c>
      <c r="P20" s="5">
        <f>SUM(D20:O20)</f>
        <v>9000</v>
      </c>
    </row>
    <row r="21">
      <c r="A21" s="24" t="s">
        <v>11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5"/>
    </row>
    <row r="22">
      <c r="A22" s="3" t="s">
        <v>12</v>
      </c>
      <c r="B22" s="5"/>
      <c r="C22" s="5"/>
      <c r="D22" s="5">
        <v>4100</v>
      </c>
      <c r="E22" s="5">
        <v>4100</v>
      </c>
      <c r="F22" s="5">
        <v>4100</v>
      </c>
      <c r="G22" s="5">
        <v>4100</v>
      </c>
      <c r="H22" s="5">
        <v>4100</v>
      </c>
      <c r="I22" s="5">
        <v>4100</v>
      </c>
      <c r="J22" s="5">
        <v>4100</v>
      </c>
      <c r="K22" s="5">
        <v>4100</v>
      </c>
      <c r="L22" s="5">
        <v>4100</v>
      </c>
      <c r="M22" s="5">
        <v>4100</v>
      </c>
      <c r="N22" s="5">
        <v>4100</v>
      </c>
      <c r="O22" s="5">
        <v>4100</v>
      </c>
      <c r="P22" s="5">
        <f>SUM(D22:O22)</f>
        <v>49200</v>
      </c>
    </row>
    <row r="23">
      <c r="A23" s="3" t="s">
        <v>13</v>
      </c>
      <c r="B23" s="5"/>
      <c r="C23" s="5"/>
      <c r="D23" s="5">
        <v>4400</v>
      </c>
      <c r="E23" s="5">
        <v>4400</v>
      </c>
      <c r="F23" s="5">
        <v>4400</v>
      </c>
      <c r="G23" s="5">
        <v>4400</v>
      </c>
      <c r="H23" s="5">
        <v>4400</v>
      </c>
      <c r="I23" s="5">
        <v>4400</v>
      </c>
      <c r="J23" s="5">
        <v>4400</v>
      </c>
      <c r="K23" s="5">
        <v>4400</v>
      </c>
      <c r="L23" s="5">
        <v>4400</v>
      </c>
      <c r="M23" s="5">
        <v>4400</v>
      </c>
      <c r="N23" s="5">
        <v>4400</v>
      </c>
      <c r="O23" s="5">
        <v>4400</v>
      </c>
      <c r="P23" s="5">
        <f>SUM(D23:O23)</f>
        <v>52800</v>
      </c>
    </row>
    <row r="24">
      <c r="A24" s="3" t="s">
        <v>14</v>
      </c>
      <c r="B24" s="5"/>
      <c r="C24" s="5"/>
      <c r="D24" s="5">
        <v>125</v>
      </c>
      <c r="E24" s="5">
        <v>125</v>
      </c>
      <c r="F24" s="5">
        <v>125</v>
      </c>
      <c r="G24" s="5">
        <v>125</v>
      </c>
      <c r="H24" s="5">
        <v>125</v>
      </c>
      <c r="I24" s="5">
        <v>125</v>
      </c>
      <c r="J24" s="5">
        <v>125</v>
      </c>
      <c r="K24" s="5">
        <v>125</v>
      </c>
      <c r="L24" s="5">
        <v>125</v>
      </c>
      <c r="M24" s="5">
        <v>125</v>
      </c>
      <c r="N24" s="5">
        <v>125</v>
      </c>
      <c r="O24" s="5">
        <v>125</v>
      </c>
      <c r="P24" s="5">
        <f>SUM(D24:O24)</f>
        <v>1500</v>
      </c>
    </row>
    <row r="25">
      <c r="A25" s="21" t="s">
        <v>51</v>
      </c>
      <c r="B25" s="5"/>
      <c r="C25" s="5"/>
      <c r="D25" s="5">
        <f>D5*0.065</f>
        <v>26578.5</v>
      </c>
      <c r="E25" s="5">
        <f>E5*0.065</f>
        <v>27992.25</v>
      </c>
      <c r="F25" s="5">
        <f>F5*0.065</f>
        <v>30819.75</v>
      </c>
      <c r="G25" s="5">
        <f>G5*0.065</f>
        <v>31950.75</v>
      </c>
      <c r="H25" s="5">
        <f>H5*0.065</f>
        <v>33364.5</v>
      </c>
      <c r="I25" s="5">
        <f>I5*0.065</f>
        <v>33364.5</v>
      </c>
      <c r="J25" s="5">
        <f>J5*0.065</f>
        <v>33930</v>
      </c>
      <c r="K25" s="5">
        <f>K5*0.065</f>
        <v>33930</v>
      </c>
      <c r="L25" s="5">
        <f>L5*0.065</f>
        <v>36757.5</v>
      </c>
      <c r="M25" s="5">
        <f>M5*0.065</f>
        <v>33930</v>
      </c>
      <c r="N25" s="5">
        <f>N5*0.065</f>
        <v>32516.25</v>
      </c>
      <c r="O25" s="5">
        <f>O5*0.065</f>
        <v>31102.5</v>
      </c>
      <c r="P25" s="5">
        <f>SUM(D25:O25)</f>
        <v>386236.5</v>
      </c>
    </row>
    <row r="26">
      <c r="A26" s="40" t="s">
        <v>68</v>
      </c>
      <c r="B26" s="5"/>
      <c r="C26" s="5"/>
      <c r="D26" s="5">
        <v>13700</v>
      </c>
      <c r="E26" s="5">
        <v>13700</v>
      </c>
      <c r="F26" s="5">
        <v>13700</v>
      </c>
      <c r="G26" s="5">
        <v>13700</v>
      </c>
      <c r="H26" s="5">
        <v>13700</v>
      </c>
      <c r="I26" s="5">
        <v>13700</v>
      </c>
      <c r="J26" s="5">
        <v>13700</v>
      </c>
      <c r="K26" s="5">
        <v>13700</v>
      </c>
      <c r="L26" s="5">
        <v>13700</v>
      </c>
      <c r="M26" s="5">
        <v>13700</v>
      </c>
      <c r="N26" s="5">
        <v>13700</v>
      </c>
      <c r="O26" s="5">
        <v>13700</v>
      </c>
      <c r="P26" s="5">
        <f>SUM(D26:O26)</f>
        <v>164400</v>
      </c>
    </row>
    <row r="27">
      <c r="A27" s="3" t="s">
        <v>15</v>
      </c>
      <c r="B27" s="5"/>
      <c r="C27" s="5"/>
      <c r="D27" s="5">
        <v>27500</v>
      </c>
      <c r="E27" s="5">
        <v>27500</v>
      </c>
      <c r="F27" s="5">
        <v>27500</v>
      </c>
      <c r="G27" s="5">
        <v>27500</v>
      </c>
      <c r="H27" s="5">
        <v>27500</v>
      </c>
      <c r="I27" s="5">
        <v>27500</v>
      </c>
      <c r="J27" s="5">
        <v>27500</v>
      </c>
      <c r="K27" s="5">
        <v>27500</v>
      </c>
      <c r="L27" s="5">
        <v>27500</v>
      </c>
      <c r="M27" s="5">
        <v>27500</v>
      </c>
      <c r="N27" s="5">
        <v>27500</v>
      </c>
      <c r="O27" s="5">
        <v>27500</v>
      </c>
      <c r="P27" s="5">
        <f>SUM(D27:O27)</f>
        <v>330000</v>
      </c>
    </row>
    <row r="28">
      <c r="A28" s="3" t="s">
        <v>16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>SUM(D28:O28)</f>
        <v>0</v>
      </c>
    </row>
    <row r="29">
      <c r="A29" s="24" t="s">
        <v>17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5"/>
    </row>
    <row r="30">
      <c r="A30" s="3" t="s">
        <v>18</v>
      </c>
      <c r="B30" s="5"/>
      <c r="C30" s="5"/>
      <c r="D30" s="5">
        <v>5100</v>
      </c>
      <c r="E30" s="5">
        <v>5100</v>
      </c>
      <c r="F30" s="5">
        <v>5100</v>
      </c>
      <c r="G30" s="5">
        <v>5100</v>
      </c>
      <c r="H30" s="5">
        <v>5100</v>
      </c>
      <c r="I30" s="5">
        <v>5100</v>
      </c>
      <c r="J30" s="5">
        <v>5100</v>
      </c>
      <c r="K30" s="5">
        <v>5100</v>
      </c>
      <c r="L30" s="5">
        <v>5100</v>
      </c>
      <c r="M30" s="5">
        <v>5100</v>
      </c>
      <c r="N30" s="5">
        <v>5100</v>
      </c>
      <c r="O30" s="5">
        <v>5100</v>
      </c>
      <c r="P30" s="5">
        <f>SUM(D30:O30)</f>
        <v>61200</v>
      </c>
    </row>
    <row r="31">
      <c r="A31" s="3" t="s">
        <v>19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>SUM(D31:O31)</f>
        <v>0</v>
      </c>
    </row>
    <row r="32">
      <c r="A32" s="3" t="s">
        <v>20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>SUM(D32:O32)</f>
        <v>0</v>
      </c>
    </row>
    <row r="33">
      <c r="A33" s="24" t="s">
        <v>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5"/>
    </row>
    <row r="34">
      <c r="A34" s="3" t="s">
        <v>50</v>
      </c>
      <c r="B34" s="5"/>
      <c r="C34" s="5"/>
      <c r="D34" s="5">
        <v>750</v>
      </c>
      <c r="E34" s="5">
        <v>750</v>
      </c>
      <c r="F34" s="5">
        <v>750</v>
      </c>
      <c r="G34" s="5">
        <v>750</v>
      </c>
      <c r="H34" s="5">
        <v>750</v>
      </c>
      <c r="I34" s="5">
        <v>750</v>
      </c>
      <c r="J34" s="5">
        <v>750</v>
      </c>
      <c r="K34" s="5">
        <v>750</v>
      </c>
      <c r="L34" s="5">
        <v>750</v>
      </c>
      <c r="M34" s="5">
        <v>750</v>
      </c>
      <c r="N34" s="5">
        <v>750</v>
      </c>
      <c r="O34" s="5">
        <v>750</v>
      </c>
      <c r="P34" s="5">
        <f>SUM(D34:O34)</f>
        <v>9000</v>
      </c>
    </row>
    <row r="35">
      <c r="A35" s="3" t="s">
        <v>44</v>
      </c>
      <c r="B35" s="5"/>
      <c r="C35" s="5"/>
      <c r="D35" s="5">
        <v>650</v>
      </c>
      <c r="E35" s="5">
        <v>650</v>
      </c>
      <c r="F35" s="5">
        <v>650</v>
      </c>
      <c r="G35" s="5">
        <v>650</v>
      </c>
      <c r="H35" s="5">
        <v>650</v>
      </c>
      <c r="I35" s="5">
        <v>650</v>
      </c>
      <c r="J35" s="5">
        <v>650</v>
      </c>
      <c r="K35" s="5">
        <v>650</v>
      </c>
      <c r="L35" s="5">
        <v>650</v>
      </c>
      <c r="M35" s="5">
        <v>650</v>
      </c>
      <c r="N35" s="5">
        <v>650</v>
      </c>
      <c r="O35" s="5">
        <v>650</v>
      </c>
      <c r="P35" s="5">
        <f>SUM(D35:O35)</f>
        <v>7800</v>
      </c>
    </row>
    <row r="36">
      <c r="A36" s="3" t="s">
        <v>22</v>
      </c>
      <c r="B36" s="5"/>
      <c r="C36" s="5"/>
      <c r="D36" s="5">
        <v>1560</v>
      </c>
      <c r="E36" s="5">
        <v>1560</v>
      </c>
      <c r="F36" s="5">
        <v>1560</v>
      </c>
      <c r="G36" s="5">
        <v>1560</v>
      </c>
      <c r="H36" s="5">
        <v>1560</v>
      </c>
      <c r="I36" s="5">
        <v>1560</v>
      </c>
      <c r="J36" s="5">
        <v>1560</v>
      </c>
      <c r="K36" s="5">
        <v>1560</v>
      </c>
      <c r="L36" s="5">
        <v>1560</v>
      </c>
      <c r="M36" s="5">
        <v>1560</v>
      </c>
      <c r="N36" s="5">
        <v>1560</v>
      </c>
      <c r="O36" s="5">
        <v>1560</v>
      </c>
      <c r="P36" s="5">
        <f>SUM(D36:O36)</f>
        <v>18720</v>
      </c>
    </row>
    <row r="37">
      <c r="A37" s="24" t="s">
        <v>23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5"/>
    </row>
    <row r="38">
      <c r="A38" s="3" t="s">
        <v>24</v>
      </c>
      <c r="B38" s="5"/>
      <c r="C38" s="5"/>
      <c r="D38" s="5">
        <f>D39*0.085</f>
        <v>13566.000000000002</v>
      </c>
      <c r="E38" s="5">
        <f>E39*0.085</f>
        <v>13566.000000000002</v>
      </c>
      <c r="F38" s="5">
        <f>F39*0.085</f>
        <v>13566.000000000002</v>
      </c>
      <c r="G38" s="5">
        <f>G39*0.082</f>
        <v>13087.2</v>
      </c>
      <c r="H38" s="5">
        <f>H39*0.082</f>
        <v>13087.2</v>
      </c>
      <c r="I38" s="5">
        <f>I39*0.082</f>
        <v>13087.2</v>
      </c>
      <c r="J38" s="5">
        <f>J39*0.08108</f>
        <v>12940.368</v>
      </c>
      <c r="K38" s="5">
        <f>K39*0.08108</f>
        <v>12940.368</v>
      </c>
      <c r="L38" s="5">
        <f>L39*0.08108</f>
        <v>12940.368</v>
      </c>
      <c r="M38" s="5">
        <f>M39*0.08108</f>
        <v>12940.368</v>
      </c>
      <c r="N38" s="5">
        <f>N39*0.08108</f>
        <v>12940.368</v>
      </c>
      <c r="O38" s="5">
        <f>O39*0.08108</f>
        <v>12940.368</v>
      </c>
      <c r="P38" s="5">
        <f>SUM(D38:O38)</f>
        <v>157601.808</v>
      </c>
    </row>
    <row r="39">
      <c r="A39" s="3" t="s">
        <v>25</v>
      </c>
      <c r="B39" s="5"/>
      <c r="C39" s="5"/>
      <c r="D39" s="5">
        <v>159600</v>
      </c>
      <c r="E39" s="5">
        <v>159600</v>
      </c>
      <c r="F39" s="5">
        <v>159600</v>
      </c>
      <c r="G39" s="5">
        <v>159600</v>
      </c>
      <c r="H39" s="5">
        <v>159600</v>
      </c>
      <c r="I39" s="5">
        <v>159600</v>
      </c>
      <c r="J39" s="5">
        <v>159600</v>
      </c>
      <c r="K39" s="5">
        <v>159600</v>
      </c>
      <c r="L39" s="5">
        <v>159600</v>
      </c>
      <c r="M39" s="5">
        <v>159600</v>
      </c>
      <c r="N39" s="5">
        <v>159600</v>
      </c>
      <c r="O39" s="5">
        <v>159600</v>
      </c>
      <c r="P39" s="5">
        <f>SUM(D39:O39)</f>
        <v>1915200</v>
      </c>
    </row>
    <row r="40">
      <c r="A40" s="24" t="s">
        <v>26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5"/>
    </row>
    <row r="41">
      <c r="A41" s="3" t="s">
        <v>45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>SUM(D41:O41)</f>
        <v>0</v>
      </c>
    </row>
    <row r="42">
      <c r="A42" s="3" t="s">
        <v>27</v>
      </c>
      <c r="B42" s="5"/>
      <c r="C42" s="10"/>
      <c r="D42" s="5">
        <v>2800</v>
      </c>
      <c r="E42" s="5">
        <v>2800</v>
      </c>
      <c r="F42" s="5">
        <v>2800</v>
      </c>
      <c r="G42" s="5">
        <v>2800</v>
      </c>
      <c r="H42" s="5">
        <v>2800</v>
      </c>
      <c r="I42" s="5">
        <v>2800</v>
      </c>
      <c r="J42" s="5">
        <v>2800</v>
      </c>
      <c r="K42" s="5">
        <v>2800</v>
      </c>
      <c r="L42" s="5">
        <v>2800</v>
      </c>
      <c r="M42" s="5">
        <v>2800</v>
      </c>
      <c r="N42" s="5">
        <v>2800</v>
      </c>
      <c r="O42" s="5">
        <v>2800</v>
      </c>
      <c r="P42" s="5">
        <f>SUM(D42:O42)</f>
        <v>33600</v>
      </c>
    </row>
    <row r="43">
      <c r="A43" s="3" t="s">
        <v>28</v>
      </c>
      <c r="B43" s="5"/>
      <c r="C43" s="1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3"/>
    </row>
    <row r="44">
      <c r="A44" s="3" t="s">
        <v>29</v>
      </c>
      <c r="B44" s="8">
        <f>SUM(B14:B43)</f>
        <v>0</v>
      </c>
      <c r="C44" s="10"/>
      <c r="D44" s="8">
        <f>SUM(D14:D43)</f>
        <v>280329.5</v>
      </c>
      <c r="E44" s="8">
        <f>SUM(E14:E43)</f>
        <v>281743.25</v>
      </c>
      <c r="F44" s="8">
        <f>SUM(F14:F43)</f>
        <v>284570.75</v>
      </c>
      <c r="G44" s="8">
        <f>SUM(G14:G43)</f>
        <v>285222.95</v>
      </c>
      <c r="H44" s="8">
        <f>SUM(H14:H43)</f>
        <v>286636.7</v>
      </c>
      <c r="I44" s="8">
        <f>SUM(I14:I43)</f>
        <v>286636.7</v>
      </c>
      <c r="J44" s="8">
        <f>SUM(J14:J43)</f>
        <v>287055.368</v>
      </c>
      <c r="K44" s="8">
        <f>SUM(K14:K43)</f>
        <v>287055.368</v>
      </c>
      <c r="L44" s="8">
        <f>SUM(L14:L43)</f>
        <v>289882.868</v>
      </c>
      <c r="M44" s="8">
        <f>SUM(M14:M43)</f>
        <v>287055.368</v>
      </c>
      <c r="N44" s="8">
        <f>SUM(N14:N43)</f>
        <v>285641.618</v>
      </c>
      <c r="O44" s="8">
        <f>SUM(O14:O43)</f>
        <v>284227.868</v>
      </c>
      <c r="P44" s="9">
        <f>SUM(D44:O44)</f>
        <v>3426058.3079999993</v>
      </c>
    </row>
    <row r="45">
      <c r="A45" s="23" t="s">
        <v>47</v>
      </c>
      <c r="B45" s="5"/>
      <c r="C45" s="11"/>
      <c r="D45" s="5">
        <f>D12-D44</f>
        <v>-12140.5</v>
      </c>
      <c r="E45" s="5">
        <f>E12-E44</f>
        <v>1888.25</v>
      </c>
      <c r="F45" s="5">
        <f>F12-F44</f>
        <v>29945.75</v>
      </c>
      <c r="G45" s="5">
        <f>G12-G44</f>
        <v>41647.54999999999</v>
      </c>
      <c r="H45" s="5">
        <f>H12-H44</f>
        <v>55676.29999999999</v>
      </c>
      <c r="I45" s="5">
        <f>I12-I44</f>
        <v>55676.29999999999</v>
      </c>
      <c r="J45" s="5">
        <f>J12-J44</f>
        <v>61434.63199999998</v>
      </c>
      <c r="K45" s="5">
        <f>K12-K44</f>
        <v>61434.63199999998</v>
      </c>
      <c r="L45" s="5">
        <f>L12-L44</f>
        <v>89492.13199999998</v>
      </c>
      <c r="M45" s="5">
        <f>M12-M44</f>
        <v>61434.63199999998</v>
      </c>
      <c r="N45" s="5">
        <f>N12-N44</f>
        <v>47405.88199999998</v>
      </c>
      <c r="O45" s="5">
        <f>O12-O44</f>
        <v>33377.13199999998</v>
      </c>
      <c r="P45" s="6">
        <f>SUM(D45:O45)</f>
        <v>527272.6919999998</v>
      </c>
    </row>
    <row r="46">
      <c r="A46" s="3"/>
      <c r="B46" s="5"/>
      <c r="C46" s="1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/>
    </row>
    <row r="47">
      <c r="A47" s="3" t="s">
        <v>33</v>
      </c>
      <c r="B47" s="5"/>
      <c r="C47" s="10"/>
      <c r="D47" s="5">
        <v>2268</v>
      </c>
      <c r="E47" s="5">
        <v>2268</v>
      </c>
      <c r="F47" s="5">
        <v>2268</v>
      </c>
      <c r="G47" s="5">
        <v>2268</v>
      </c>
      <c r="H47" s="5">
        <v>2268</v>
      </c>
      <c r="I47" s="5">
        <v>2268</v>
      </c>
      <c r="J47" s="5">
        <v>2268</v>
      </c>
      <c r="K47" s="5">
        <v>2268</v>
      </c>
      <c r="L47" s="5">
        <v>2268</v>
      </c>
      <c r="M47" s="5">
        <v>2268</v>
      </c>
      <c r="N47" s="5">
        <v>2268</v>
      </c>
      <c r="O47" s="5">
        <v>2268</v>
      </c>
      <c r="P47" s="6">
        <f>SUM(D47:O47)</f>
        <v>27216</v>
      </c>
    </row>
    <row r="48">
      <c r="A48" t="s">
        <v>52</v>
      </c>
      <c r="B48" s="31">
        <v>820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6">
        <f>SUM(D48:O48)</f>
        <v>0</v>
      </c>
    </row>
    <row r="49">
      <c r="A49" t="s">
        <v>53</v>
      </c>
      <c r="B49" s="31">
        <v>580</v>
      </c>
      <c r="D49" s="31">
        <v>580</v>
      </c>
      <c r="E49" s="31">
        <v>580</v>
      </c>
      <c r="F49" s="31">
        <v>580</v>
      </c>
      <c r="G49" s="31"/>
      <c r="H49" s="31"/>
      <c r="I49" s="31"/>
      <c r="J49" s="31"/>
      <c r="K49" s="31"/>
      <c r="L49" s="31"/>
      <c r="M49" s="31"/>
      <c r="N49" s="31"/>
      <c r="O49" s="31"/>
      <c r="P49" s="6">
        <f>SUM(D49:O49)</f>
        <v>1740</v>
      </c>
    </row>
    <row r="50">
      <c r="A50" t="s">
        <v>54</v>
      </c>
      <c r="B50" s="31">
        <v>600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6">
        <f>SUM(D50:O50)</f>
        <v>0</v>
      </c>
    </row>
    <row r="51">
      <c r="A51" t="s">
        <v>55</v>
      </c>
      <c r="B51" s="31">
        <v>2400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6">
        <f>SUM(D51:O51)</f>
        <v>0</v>
      </c>
    </row>
    <row r="52">
      <c r="A52" t="s">
        <v>56</v>
      </c>
      <c r="B52" s="31">
        <v>1500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6">
        <f>SUM(D52:O52)</f>
        <v>0</v>
      </c>
    </row>
    <row r="53">
      <c r="A53" t="s">
        <v>57</v>
      </c>
      <c r="B53" s="33">
        <v>1809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6">
        <f>SUM(D53:O53)</f>
        <v>0</v>
      </c>
    </row>
    <row r="54">
      <c r="A54" t="s">
        <v>64</v>
      </c>
      <c r="B54" s="33">
        <v>4100</v>
      </c>
      <c r="D54" s="33">
        <v>7000</v>
      </c>
      <c r="E54" s="33">
        <v>7000</v>
      </c>
      <c r="F54" s="33">
        <v>7000</v>
      </c>
      <c r="G54" s="33">
        <v>8000</v>
      </c>
      <c r="H54" s="33">
        <v>8000</v>
      </c>
      <c r="I54" s="33">
        <v>8000</v>
      </c>
      <c r="J54" s="33">
        <v>8000</v>
      </c>
      <c r="K54" s="33">
        <v>8000</v>
      </c>
      <c r="L54" s="33">
        <v>8000</v>
      </c>
      <c r="M54" s="33">
        <v>8000</v>
      </c>
      <c r="N54" s="33">
        <v>8000</v>
      </c>
      <c r="O54" s="33">
        <v>8000</v>
      </c>
      <c r="P54" s="6">
        <f>SUM(D54:O54)</f>
        <v>93000</v>
      </c>
    </row>
    <row r="55">
      <c r="A55" t="s">
        <v>58</v>
      </c>
      <c r="B55" s="35">
        <v>2100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6">
        <f>SUM(D55:O55)</f>
        <v>0</v>
      </c>
    </row>
    <row r="56">
      <c r="A56" s="3" t="s">
        <v>62</v>
      </c>
      <c r="B56" s="5"/>
      <c r="C56" s="10"/>
      <c r="D56" s="5">
        <f>SUM(D47:D55)</f>
        <v>9848</v>
      </c>
      <c r="E56" s="5">
        <f>SUM(E47:E55)</f>
        <v>9848</v>
      </c>
      <c r="F56" s="5">
        <f>SUM(F47:F55)</f>
        <v>9848</v>
      </c>
      <c r="G56" s="5">
        <f>SUM(G47:G55)</f>
        <v>10268</v>
      </c>
      <c r="H56" s="5">
        <f>SUM(H47:H55)</f>
        <v>10268</v>
      </c>
      <c r="I56" s="5">
        <f>SUM(I47:I55)</f>
        <v>10268</v>
      </c>
      <c r="J56" s="5">
        <f>SUM(J47:J55)</f>
        <v>10268</v>
      </c>
      <c r="K56" s="5">
        <f>SUM(K47:K55)</f>
        <v>10268</v>
      </c>
      <c r="L56" s="5">
        <f>SUM(L47:L55)</f>
        <v>10268</v>
      </c>
      <c r="M56" s="5">
        <f>SUM(M47:M55)</f>
        <v>10268</v>
      </c>
      <c r="N56" s="5">
        <f>SUM(N47:N55)</f>
        <v>10268</v>
      </c>
      <c r="O56" s="5">
        <f>SUM(O47:O55)</f>
        <v>10268</v>
      </c>
      <c r="P56" s="6">
        <f>SUM(D56:O56)</f>
        <v>121956</v>
      </c>
    </row>
    <row r="57">
      <c r="A57" s="3"/>
      <c r="B57" s="5"/>
      <c r="C57" s="10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/>
    </row>
    <row r="58">
      <c r="A58" s="3" t="s">
        <v>70</v>
      </c>
      <c r="B58" s="8">
        <f>B9-B44-B46</f>
        <v>0</v>
      </c>
      <c r="C58" s="10">
        <v>0.12457967764540988</v>
      </c>
      <c r="D58" s="8">
        <f>D45-D56</f>
        <v>-21988.5</v>
      </c>
      <c r="E58" s="8">
        <f>E45-E56</f>
        <v>-7959.75</v>
      </c>
      <c r="F58" s="8">
        <f>F45-F56</f>
        <v>20097.75</v>
      </c>
      <c r="G58" s="8">
        <f>G45-G56</f>
        <v>31379.54999999999</v>
      </c>
      <c r="H58" s="8">
        <f>H45-H56</f>
        <v>45408.29999999999</v>
      </c>
      <c r="I58" s="8">
        <f>I45-I56</f>
        <v>45408.29999999999</v>
      </c>
      <c r="J58" s="8">
        <f>J45-J56</f>
        <v>51166.63199999998</v>
      </c>
      <c r="K58" s="8">
        <f>K45-K56</f>
        <v>51166.63199999998</v>
      </c>
      <c r="L58" s="8">
        <f>L45-L56</f>
        <v>79224.13199999998</v>
      </c>
      <c r="M58" s="8">
        <f>M45-M56</f>
        <v>51166.63199999998</v>
      </c>
      <c r="N58" s="8">
        <f>N45-N56</f>
        <v>37137.88199999998</v>
      </c>
      <c r="O58" s="8">
        <f>O45-O56</f>
        <v>23109.131999999983</v>
      </c>
      <c r="P58" s="8">
        <f>P45-P56</f>
        <v>405316.6919999998</v>
      </c>
    </row>
    <row r="59">
      <c r="A59" s="3"/>
      <c r="B59" s="5"/>
      <c r="C59" s="10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/>
    </row>
    <row r="60">
      <c r="A60" s="3" t="s">
        <v>35</v>
      </c>
      <c r="B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7"/>
    </row>
    <row r="61">
      <c r="A61" s="3" t="s">
        <v>36</v>
      </c>
      <c r="B61" s="5"/>
      <c r="D61" s="3"/>
      <c r="E61" s="3"/>
      <c r="F61" s="36">
        <v>10000</v>
      </c>
      <c r="G61" s="36"/>
      <c r="H61" s="36"/>
      <c r="I61" s="36">
        <v>143000</v>
      </c>
      <c r="J61" s="36"/>
      <c r="K61" s="36"/>
      <c r="L61" s="36">
        <v>143000</v>
      </c>
      <c r="M61" s="36"/>
      <c r="N61" s="36"/>
      <c r="O61" s="36"/>
      <c r="P61" s="39">
        <v>296000</v>
      </c>
    </row>
    <row r="62" ht="16">
      <c r="A62" s="3" t="s">
        <v>37</v>
      </c>
      <c r="B62" s="5"/>
      <c r="D62" s="3"/>
      <c r="E62" s="3"/>
      <c r="F62" s="36"/>
      <c r="G62" s="36"/>
      <c r="H62" s="36"/>
      <c r="I62" s="36"/>
      <c r="J62" s="36"/>
      <c r="K62" s="36"/>
      <c r="L62" s="36"/>
      <c r="M62" s="36"/>
      <c r="N62" s="36"/>
      <c r="O62" s="36">
        <v>106000</v>
      </c>
      <c r="P62" s="46">
        <f>SUM(D62:O62)</f>
        <v>106000</v>
      </c>
    </row>
    <row r="63">
      <c r="A63" s="3"/>
      <c r="B63" s="5"/>
      <c r="C63" s="10"/>
      <c r="D63" s="5"/>
      <c r="E63" s="5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45">
        <f>SUM(P61:P62)</f>
        <v>402000</v>
      </c>
    </row>
    <row r="64">
      <c r="A64" s="3"/>
      <c r="B64" s="5"/>
      <c r="C64" s="10"/>
      <c r="D64" s="5"/>
      <c r="E64" s="5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</row>
    <row r="65">
      <c r="A65" s="3"/>
      <c r="B65" s="5"/>
      <c r="C65" s="10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3"/>
    </row>
    <row r="66">
      <c r="A66" s="3"/>
      <c r="B66" s="5"/>
      <c r="C66" s="10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/>
    </row>
    <row r="67">
      <c r="A67" s="3"/>
      <c r="B67" s="5"/>
      <c r="C67" s="10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/>
    </row>
    <row r="68">
      <c r="A68" s="3"/>
      <c r="B68" s="5"/>
      <c r="C68" s="10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3"/>
    </row>
    <row r="69">
      <c r="A69" s="3"/>
      <c r="B69" s="5"/>
      <c r="C69" s="10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3"/>
    </row>
    <row r="70">
      <c r="A70" s="3"/>
      <c r="B70" s="5"/>
      <c r="C70" s="10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/>
    </row>
    <row r="71">
      <c r="A71" s="3"/>
      <c r="B71" s="5"/>
      <c r="C71" s="10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/>
    </row>
    <row r="72">
      <c r="A72" s="3"/>
      <c r="B72" s="5"/>
      <c r="C72" s="10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</row>
    <row r="73">
      <c r="A73" s="3"/>
      <c r="B73" s="5"/>
      <c r="C73" s="10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3"/>
    </row>
    <row r="74">
      <c r="A74" s="3"/>
      <c r="B74" s="5"/>
      <c r="C74" s="10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</row>
    <row r="75">
      <c r="A75" s="3"/>
      <c r="B75" s="5"/>
      <c r="C75" s="10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/>
    </row>
    <row r="76">
      <c r="A76" s="3"/>
      <c r="B76" s="5"/>
      <c r="C76" s="10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/>
    </row>
    <row r="77">
      <c r="A77" s="3"/>
      <c r="B77" s="5"/>
      <c r="C77" s="10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3"/>
    </row>
    <row r="78">
      <c r="A78" s="3"/>
      <c r="B78" s="5"/>
      <c r="C78" s="10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/>
    </row>
    <row r="79">
      <c r="A79" s="3"/>
      <c r="B79" s="5"/>
      <c r="C79" s="10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/>
    </row>
    <row r="80">
      <c r="A80" s="3"/>
      <c r="B80" s="5"/>
      <c r="C80" s="10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3"/>
    </row>
    <row r="81">
      <c r="A81" s="3"/>
      <c r="B81" s="5"/>
      <c r="C81" s="10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2">
      <c r="A82" s="3"/>
      <c r="B82" s="5"/>
      <c r="C82" s="10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/>
    </row>
    <row r="83">
      <c r="A83" s="3"/>
      <c r="B83" s="5"/>
      <c r="C83" s="10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/>
      <c r="Q83" s="2"/>
    </row>
    <row r="84">
      <c r="A84" s="3"/>
      <c r="B84" s="5"/>
      <c r="C84" s="10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/>
    </row>
    <row r="85">
      <c r="A85" s="3"/>
      <c r="B85" s="5"/>
      <c r="C85" s="10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3"/>
    </row>
    <row r="86">
      <c r="A86" s="3"/>
      <c r="B86" s="5"/>
      <c r="C86" s="10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/>
    </row>
    <row r="87">
      <c r="A87" s="3"/>
      <c r="B87" s="5"/>
      <c r="C87" s="10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3"/>
    </row>
    <row r="88">
      <c r="A88" s="3"/>
      <c r="B88" s="5"/>
      <c r="C88" s="10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/>
    </row>
    <row r="89">
      <c r="A89" s="3"/>
      <c r="B89" s="5"/>
      <c r="C89" s="10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/>
    </row>
    <row r="90">
      <c r="A90" s="3"/>
      <c r="B90" s="5"/>
      <c r="C90" s="10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/>
    </row>
    <row r="91">
      <c r="A91" s="3"/>
      <c r="B91" s="5"/>
      <c r="C91" s="10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3"/>
    </row>
    <row r="92">
      <c r="A92" s="3"/>
      <c r="B92" s="5"/>
      <c r="C92" s="10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/>
    </row>
    <row r="93">
      <c r="A93" s="3"/>
      <c r="B93" s="5"/>
      <c r="C93" s="10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>
      <c r="A94" s="3"/>
      <c r="B94" s="5"/>
      <c r="C94" s="1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/>
    </row>
    <row r="95">
      <c r="A95" s="3"/>
      <c r="B95" s="5"/>
      <c r="C95" s="10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3"/>
    </row>
    <row r="96">
      <c r="A96" s="3"/>
      <c r="B96" s="5"/>
      <c r="C96" s="10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6"/>
    </row>
    <row r="97">
      <c r="A97" s="3"/>
      <c r="B97" s="5"/>
      <c r="C97" s="10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3"/>
    </row>
    <row r="98">
      <c r="A98" s="3"/>
      <c r="B98" s="12"/>
      <c r="C98" s="13"/>
      <c r="D98" s="12"/>
      <c r="E98" s="12"/>
      <c r="F98" s="5"/>
      <c r="G98" s="5"/>
      <c r="H98" s="5"/>
      <c r="I98" s="5"/>
      <c r="J98" s="5"/>
      <c r="K98" s="5"/>
      <c r="L98" s="5"/>
      <c r="M98" s="5"/>
      <c r="N98" s="5"/>
      <c r="O98" s="5"/>
      <c r="P98" s="6"/>
    </row>
    <row r="99">
      <c r="A99" s="3"/>
      <c r="B99" s="12"/>
      <c r="C99" s="13"/>
      <c r="D99" s="12"/>
      <c r="E99" s="12"/>
      <c r="F99" s="5"/>
      <c r="G99" s="5"/>
      <c r="H99" s="5"/>
      <c r="I99" s="5"/>
      <c r="J99" s="5"/>
      <c r="K99" s="5"/>
      <c r="L99" s="5"/>
      <c r="M99" s="5"/>
      <c r="N99" s="5"/>
      <c r="O99" s="5"/>
      <c r="P99" s="6"/>
    </row>
    <row r="100">
      <c r="A100" s="3"/>
      <c r="B100" s="12"/>
      <c r="C100" s="13"/>
      <c r="D100" s="12"/>
      <c r="E100" s="1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/>
    </row>
    <row r="101">
      <c r="A101" s="3"/>
      <c r="B101" s="5"/>
      <c r="C101" s="10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3"/>
    </row>
    <row r="102">
      <c r="A102" s="3"/>
      <c r="B102" s="5"/>
      <c r="C102" s="10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/>
    </row>
    <row r="103">
      <c r="A103" s="3"/>
      <c r="B103" s="5"/>
      <c r="C103" s="10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6"/>
    </row>
    <row r="104">
      <c r="A104" s="3"/>
      <c r="B104" s="5"/>
      <c r="C104" s="10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6"/>
    </row>
    <row r="105">
      <c r="A105" s="3"/>
      <c r="B105" s="5"/>
      <c r="C105" s="1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6"/>
    </row>
    <row r="106">
      <c r="A106" s="3"/>
      <c r="B106" s="5"/>
      <c r="C106" s="10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3"/>
    </row>
    <row r="107">
      <c r="A107" s="3"/>
      <c r="B107" s="5"/>
      <c r="C107" s="10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3"/>
    </row>
    <row r="108">
      <c r="A108" s="3"/>
      <c r="B108" s="5"/>
      <c r="C108" s="10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3"/>
    </row>
    <row r="109">
      <c r="A109" s="3"/>
      <c r="B109" s="5"/>
      <c r="C109" s="10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6"/>
    </row>
    <row r="110">
      <c r="A110" s="3"/>
      <c r="B110" s="8"/>
      <c r="C110" s="1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9"/>
    </row>
    <row r="111">
      <c r="A111" s="3"/>
      <c r="B111" s="5"/>
      <c r="C111" s="10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6"/>
    </row>
    <row r="112">
      <c r="A112" s="3"/>
      <c r="B112" s="5"/>
      <c r="C112" s="10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6"/>
    </row>
    <row r="113">
      <c r="A113" s="3"/>
      <c r="B113" s="5"/>
      <c r="C113" s="10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6"/>
      <c r="Q113" s="19"/>
    </row>
    <row r="114">
      <c r="A114" s="3"/>
      <c r="B114" s="8"/>
      <c r="C114" s="1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9"/>
      <c r="Q114" s="18"/>
    </row>
    <row r="1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>
      <c r="A116" s="17"/>
      <c r="B116" s="1"/>
      <c r="C116" s="2"/>
    </row>
    <row r="117">
      <c r="A117" s="1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"/>
      <c r="R118" s="1"/>
      <c r="S118" s="1"/>
      <c r="T118" s="1"/>
    </row>
    <row r="119">
      <c r="A119" s="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R119" s="1"/>
      <c r="S119" s="1"/>
      <c r="T119" s="1"/>
    </row>
    <row r="120">
      <c r="A120" s="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"/>
      <c r="R120" s="1"/>
      <c r="S120" s="1"/>
      <c r="T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</sheetData>
  <pageMargins left="0.25" right="0.25" top="0.25" bottom="0.25" header="0.3" footer="0.3"/>
  <pageSetup scale="5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59"/>
  <sheetViews>
    <sheetView topLeftCell="A1" workbookViewId="0" tabSelected="1">
      <selection activeCell="A51" sqref="A51" activeCellId="0"/>
    </sheetView>
  </sheetViews>
  <sheetFormatPr defaultRowHeight="15.75" x14ac:dyDescent="0.25" outlineLevelRow="0" outlineLevelCol="0"/>
  <cols>
    <col min="1" max="1" width="33.5" customWidth="1"/>
    <col min="2" max="2" width="16.75" customWidth="1"/>
    <col min="3" max="3" width="6.125" customWidth="1"/>
    <col min="4" max="4" width="14.625" customWidth="1"/>
    <col min="5" max="5" width="15.375" customWidth="1"/>
    <col min="6" max="6" width="15.375" customWidth="1"/>
    <col min="7" max="7" width="16.375" customWidth="1"/>
    <col min="8" max="8" width="15.25" customWidth="1"/>
    <col min="9" max="9" width="14.375" customWidth="1"/>
    <col min="10" max="10" width="12.75" customWidth="1"/>
    <col min="11" max="11" width="13.25" customWidth="1"/>
    <col min="12" max="12" width="0" hidden="1" customWidth="1"/>
    <col min="13" max="13" width="0" hidden="1" customWidth="1"/>
    <col min="14" max="14" width="0" hidden="1" customWidth="1"/>
    <col min="15" max="15" width="0" hidden="1" customWidth="1"/>
    <col min="16" max="16" width="13.5" customWidth="1"/>
  </cols>
  <sheetData>
    <row r="1">
      <c r="A1" s="3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3" t="s">
        <v>0</v>
      </c>
      <c r="B2" s="4" t="s">
        <v>34</v>
      </c>
      <c r="C2" s="3"/>
      <c r="D2" s="4">
        <v>47512</v>
      </c>
      <c r="E2" s="4">
        <v>47542</v>
      </c>
      <c r="F2" s="4">
        <v>47571</v>
      </c>
      <c r="G2" s="4">
        <v>47603</v>
      </c>
      <c r="H2" s="4">
        <v>47633</v>
      </c>
      <c r="I2" s="4">
        <v>47664</v>
      </c>
      <c r="J2" s="4">
        <v>47695</v>
      </c>
      <c r="K2" s="44">
        <v>47725</v>
      </c>
      <c r="L2" s="4"/>
      <c r="M2" s="4"/>
      <c r="N2" s="4"/>
      <c r="O2" s="4"/>
      <c r="P2" s="30" t="s">
        <v>69</v>
      </c>
    </row>
    <row r="3">
      <c r="A3" s="3" t="s">
        <v>1</v>
      </c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3" t="s">
        <v>39</v>
      </c>
      <c r="B4" s="3"/>
      <c r="C4" s="5"/>
      <c r="D4" s="3">
        <v>480</v>
      </c>
      <c r="E4" s="3">
        <v>515</v>
      </c>
      <c r="F4" s="3">
        <v>545</v>
      </c>
      <c r="G4" s="3">
        <v>590</v>
      </c>
      <c r="H4" s="3">
        <v>590</v>
      </c>
      <c r="I4" s="3">
        <v>590</v>
      </c>
      <c r="J4" s="3">
        <v>610</v>
      </c>
      <c r="K4" s="3">
        <v>610</v>
      </c>
      <c r="L4" s="3"/>
      <c r="M4" s="3"/>
      <c r="N4" s="3"/>
      <c r="O4" s="3"/>
      <c r="P4" s="30" t="s">
        <v>31</v>
      </c>
    </row>
    <row r="5">
      <c r="A5" s="3" t="s">
        <v>40</v>
      </c>
      <c r="B5" s="5"/>
      <c r="C5" s="10"/>
      <c r="D5" s="5">
        <f>870*D4</f>
        <v>417600</v>
      </c>
      <c r="E5" s="5">
        <f>870*E4</f>
        <v>448050</v>
      </c>
      <c r="F5" s="5">
        <f>870*F4</f>
        <v>474150</v>
      </c>
      <c r="G5" s="5">
        <f>870*G4</f>
        <v>513300</v>
      </c>
      <c r="H5" s="5">
        <f>870*H4</f>
        <v>513300</v>
      </c>
      <c r="I5" s="5">
        <f>870*I4</f>
        <v>513300</v>
      </c>
      <c r="J5" s="5">
        <f>870*J4</f>
        <v>530700</v>
      </c>
      <c r="K5" s="5">
        <f>870*K4</f>
        <v>530700</v>
      </c>
      <c r="L5" s="5"/>
      <c r="M5" s="5"/>
      <c r="N5" s="5"/>
      <c r="O5" s="5"/>
      <c r="P5" s="6">
        <f>SUM(D5:O5)</f>
        <v>3941100</v>
      </c>
    </row>
    <row r="6">
      <c r="A6" s="3" t="s">
        <v>49</v>
      </c>
      <c r="B6" s="3"/>
      <c r="C6" s="10"/>
      <c r="D6" s="6">
        <f>D5/D4</f>
        <v>870</v>
      </c>
      <c r="E6" s="6">
        <f>E5/E4</f>
        <v>870</v>
      </c>
      <c r="F6" s="6">
        <f>F5/F4</f>
        <v>870</v>
      </c>
      <c r="G6" s="6">
        <v>870</v>
      </c>
      <c r="H6" s="6">
        <v>870</v>
      </c>
      <c r="I6" s="6">
        <v>870</v>
      </c>
      <c r="J6" s="6">
        <v>870</v>
      </c>
      <c r="K6" s="6">
        <v>870</v>
      </c>
      <c r="L6" s="6"/>
      <c r="M6" s="6"/>
      <c r="N6" s="6"/>
      <c r="O6" s="6"/>
      <c r="P6" s="6"/>
    </row>
    <row r="7">
      <c r="A7" s="17" t="s">
        <v>43</v>
      </c>
      <c r="B7" s="3"/>
      <c r="C7" s="3"/>
      <c r="D7" s="3">
        <v>23000</v>
      </c>
      <c r="E7" s="3">
        <v>23000</v>
      </c>
      <c r="F7" s="3">
        <v>23000</v>
      </c>
      <c r="G7" s="3">
        <v>23000</v>
      </c>
      <c r="H7" s="3">
        <v>23000</v>
      </c>
      <c r="I7" s="3">
        <v>23000</v>
      </c>
      <c r="J7" s="3">
        <v>24000</v>
      </c>
      <c r="K7" s="3">
        <v>24000</v>
      </c>
      <c r="L7" s="3"/>
      <c r="M7" s="3"/>
      <c r="N7" s="3"/>
      <c r="O7" s="3"/>
      <c r="P7" s="6">
        <f>SUM(D7:O7)</f>
        <v>186000</v>
      </c>
    </row>
    <row r="8">
      <c r="A8" s="7" t="s">
        <v>3</v>
      </c>
      <c r="B8" s="9"/>
      <c r="C8" s="9"/>
      <c r="D8" s="9">
        <f>D5-D7</f>
        <v>394600</v>
      </c>
      <c r="E8" s="9">
        <f>E5-E7</f>
        <v>425050</v>
      </c>
      <c r="F8" s="9">
        <f>F5-F7</f>
        <v>451150</v>
      </c>
      <c r="G8" s="9">
        <f>G5-G7</f>
        <v>490300</v>
      </c>
      <c r="H8" s="9">
        <f>H5-H7</f>
        <v>490300</v>
      </c>
      <c r="I8" s="9">
        <f>I5-I7</f>
        <v>490300</v>
      </c>
      <c r="J8" s="9">
        <f>J5-J7</f>
        <v>506700</v>
      </c>
      <c r="K8" s="9">
        <f>K5-K7</f>
        <v>506700</v>
      </c>
      <c r="L8" s="9"/>
      <c r="M8" s="9"/>
      <c r="N8" s="9"/>
      <c r="O8" s="9"/>
      <c r="P8" s="9">
        <f>P5+P6-P7</f>
        <v>3755100</v>
      </c>
    </row>
    <row r="9">
      <c r="A9" s="22" t="s">
        <v>48</v>
      </c>
      <c r="B9" s="6">
        <f>B5*25%</f>
        <v>0</v>
      </c>
      <c r="C9" s="27">
        <v>0.28</v>
      </c>
      <c r="D9" s="6">
        <f>D5*28%</f>
        <v>116928.00000000001</v>
      </c>
      <c r="E9" s="6">
        <f>E5*28%</f>
        <v>125454.00000000001</v>
      </c>
      <c r="F9" s="6">
        <f>F5*28%</f>
        <v>132762</v>
      </c>
      <c r="G9" s="6">
        <f>G5*28%</f>
        <v>143724</v>
      </c>
      <c r="H9" s="6">
        <f>H5*28%</f>
        <v>143724</v>
      </c>
      <c r="I9" s="6">
        <f>I5*28%</f>
        <v>143724</v>
      </c>
      <c r="J9" s="6">
        <f>J5*28%</f>
        <v>148596</v>
      </c>
      <c r="K9" s="6">
        <f>K5*28%</f>
        <v>148596</v>
      </c>
      <c r="L9" s="6"/>
      <c r="M9" s="6"/>
      <c r="N9" s="6"/>
      <c r="O9" s="6"/>
      <c r="P9" s="6">
        <f>P5*25%</f>
        <v>985275</v>
      </c>
    </row>
    <row r="10">
      <c r="A10" s="7" t="s">
        <v>4</v>
      </c>
      <c r="B10" s="8">
        <f>B9</f>
        <v>0</v>
      </c>
      <c r="C10" s="8"/>
      <c r="D10" s="8">
        <f>D9</f>
        <v>116928.00000000001</v>
      </c>
      <c r="E10" s="8">
        <f>E9</f>
        <v>125454.00000000001</v>
      </c>
      <c r="F10" s="8">
        <f>F9</f>
        <v>132762</v>
      </c>
      <c r="G10" s="8">
        <f>G9</f>
        <v>143724</v>
      </c>
      <c r="H10" s="8">
        <f>H9</f>
        <v>143724</v>
      </c>
      <c r="I10" s="8">
        <f>I9</f>
        <v>143724</v>
      </c>
      <c r="J10" s="8">
        <f>J9</f>
        <v>148596</v>
      </c>
      <c r="K10" s="8">
        <f>K9</f>
        <v>148596</v>
      </c>
      <c r="L10" s="8"/>
      <c r="M10" s="8"/>
      <c r="N10" s="8"/>
      <c r="O10" s="8"/>
      <c r="P10" s="8">
        <f>P9</f>
        <v>985275</v>
      </c>
    </row>
    <row r="11">
      <c r="A11" s="7" t="s">
        <v>46</v>
      </c>
      <c r="B11" s="8">
        <f>B8-B10</f>
        <v>0</v>
      </c>
      <c r="C11" s="8"/>
      <c r="D11" s="8">
        <f>D8-D10</f>
        <v>277672</v>
      </c>
      <c r="E11" s="8">
        <f>E8-E10</f>
        <v>299596</v>
      </c>
      <c r="F11" s="8">
        <f>F8-F10</f>
        <v>318388</v>
      </c>
      <c r="G11" s="8">
        <f>G8-G10</f>
        <v>346576</v>
      </c>
      <c r="H11" s="8">
        <f>H8-H10</f>
        <v>346576</v>
      </c>
      <c r="I11" s="8">
        <f>I8-I10</f>
        <v>346576</v>
      </c>
      <c r="J11" s="8">
        <f>J8-J10</f>
        <v>358104</v>
      </c>
      <c r="K11" s="8">
        <f>K8-K10</f>
        <v>358104</v>
      </c>
      <c r="L11" s="8"/>
      <c r="M11" s="8"/>
      <c r="N11" s="8"/>
      <c r="O11" s="8"/>
      <c r="P11" s="8">
        <f>P8-P10</f>
        <v>2769825</v>
      </c>
    </row>
    <row r="12">
      <c r="A12" s="28" t="s">
        <v>5</v>
      </c>
      <c r="B12" s="3"/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3" t="s">
        <v>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>
      <c r="A14" s="23" t="s">
        <v>7</v>
      </c>
      <c r="B14" s="5"/>
      <c r="C14" s="5"/>
      <c r="D14" s="5">
        <v>8000</v>
      </c>
      <c r="E14" s="5">
        <v>8000</v>
      </c>
      <c r="F14" s="5">
        <v>8000</v>
      </c>
      <c r="G14" s="5">
        <v>8000</v>
      </c>
      <c r="H14" s="5">
        <v>8000</v>
      </c>
      <c r="I14" s="5">
        <v>8000</v>
      </c>
      <c r="J14" s="5">
        <v>9000</v>
      </c>
      <c r="K14" s="5">
        <v>9000</v>
      </c>
      <c r="L14" s="5"/>
      <c r="M14" s="5"/>
      <c r="N14" s="5"/>
      <c r="O14" s="5"/>
      <c r="P14" s="5">
        <f>SUM(D14:O14)</f>
        <v>66000</v>
      </c>
    </row>
    <row r="15">
      <c r="A15" s="23" t="s">
        <v>41</v>
      </c>
      <c r="B15" s="5"/>
      <c r="C15" s="5"/>
      <c r="D15" s="5">
        <v>3000</v>
      </c>
      <c r="E15" s="5">
        <v>3000</v>
      </c>
      <c r="F15" s="5">
        <v>3000</v>
      </c>
      <c r="G15" s="5">
        <v>3000</v>
      </c>
      <c r="H15" s="5">
        <v>3000</v>
      </c>
      <c r="I15" s="5">
        <v>3000</v>
      </c>
      <c r="J15" s="5">
        <v>4000</v>
      </c>
      <c r="K15" s="5">
        <v>4000</v>
      </c>
      <c r="L15" s="5"/>
      <c r="M15" s="5"/>
      <c r="N15" s="5"/>
      <c r="O15" s="5"/>
      <c r="P15" s="5">
        <f>SUM(D15:O15)</f>
        <v>26000</v>
      </c>
    </row>
    <row r="16">
      <c r="A16" s="23" t="s">
        <v>42</v>
      </c>
      <c r="B16" s="5"/>
      <c r="C16" s="5"/>
      <c r="D16" s="5">
        <v>700</v>
      </c>
      <c r="E16" s="5">
        <v>700</v>
      </c>
      <c r="F16" s="5">
        <v>700</v>
      </c>
      <c r="G16" s="5">
        <v>700</v>
      </c>
      <c r="H16" s="5">
        <v>700</v>
      </c>
      <c r="I16" s="5">
        <v>700</v>
      </c>
      <c r="J16" s="5">
        <v>700</v>
      </c>
      <c r="K16" s="5">
        <v>700</v>
      </c>
      <c r="L16" s="5"/>
      <c r="M16" s="5"/>
      <c r="N16" s="5"/>
      <c r="O16" s="5"/>
      <c r="P16" s="5">
        <f>SUM(D16:O16)</f>
        <v>5600</v>
      </c>
    </row>
    <row r="17">
      <c r="A17" s="24" t="s">
        <v>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5"/>
    </row>
    <row r="18">
      <c r="A18" s="3" t="s">
        <v>9</v>
      </c>
      <c r="B18" s="5"/>
      <c r="C18" s="5"/>
      <c r="D18" s="5">
        <v>8500</v>
      </c>
      <c r="E18" s="5">
        <v>8500</v>
      </c>
      <c r="F18" s="5">
        <v>8500</v>
      </c>
      <c r="G18" s="5">
        <v>8500</v>
      </c>
      <c r="H18" s="5">
        <v>8500</v>
      </c>
      <c r="I18" s="5">
        <v>8500</v>
      </c>
      <c r="J18" s="5">
        <v>8500</v>
      </c>
      <c r="K18" s="5">
        <v>8500</v>
      </c>
      <c r="L18" s="5"/>
      <c r="M18" s="5"/>
      <c r="N18" s="5"/>
      <c r="O18" s="5"/>
      <c r="P18" s="5">
        <f>SUM(D18:O18)</f>
        <v>68000</v>
      </c>
    </row>
    <row r="19">
      <c r="A19" s="22" t="s">
        <v>10</v>
      </c>
      <c r="B19" s="5"/>
      <c r="C19" s="5"/>
      <c r="D19" s="5">
        <v>825</v>
      </c>
      <c r="E19" s="5">
        <v>825</v>
      </c>
      <c r="F19" s="5">
        <v>825</v>
      </c>
      <c r="G19" s="5">
        <v>825</v>
      </c>
      <c r="H19" s="5">
        <v>825</v>
      </c>
      <c r="I19" s="5">
        <v>825</v>
      </c>
      <c r="J19" s="5">
        <v>825</v>
      </c>
      <c r="K19" s="5">
        <v>825</v>
      </c>
      <c r="L19" s="5"/>
      <c r="M19" s="5"/>
      <c r="N19" s="5"/>
      <c r="O19" s="5"/>
      <c r="P19" s="5">
        <f>SUM(D19:O19)</f>
        <v>6600</v>
      </c>
    </row>
    <row r="20">
      <c r="A20" s="24" t="s">
        <v>11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5"/>
    </row>
    <row r="21">
      <c r="A21" s="3" t="s">
        <v>12</v>
      </c>
      <c r="B21" s="5"/>
      <c r="C21" s="5"/>
      <c r="D21" s="5">
        <v>4300</v>
      </c>
      <c r="E21" s="5">
        <v>4300</v>
      </c>
      <c r="F21" s="5">
        <v>4300</v>
      </c>
      <c r="G21" s="5">
        <v>4300</v>
      </c>
      <c r="H21" s="5">
        <v>4300</v>
      </c>
      <c r="I21" s="5">
        <v>4300</v>
      </c>
      <c r="J21" s="5">
        <v>4300</v>
      </c>
      <c r="K21" s="5">
        <v>4300</v>
      </c>
      <c r="L21" s="5"/>
      <c r="M21" s="5"/>
      <c r="N21" s="5"/>
      <c r="O21" s="5"/>
      <c r="P21" s="5">
        <f>SUM(D21:O21)</f>
        <v>34400</v>
      </c>
    </row>
    <row r="22">
      <c r="A22" s="3" t="s">
        <v>13</v>
      </c>
      <c r="B22" s="5"/>
      <c r="C22" s="5"/>
      <c r="D22" s="5">
        <v>4500</v>
      </c>
      <c r="E22" s="5">
        <v>4500</v>
      </c>
      <c r="F22" s="5">
        <v>4500</v>
      </c>
      <c r="G22" s="5">
        <v>4500</v>
      </c>
      <c r="H22" s="5">
        <v>4500</v>
      </c>
      <c r="I22" s="5">
        <v>4500</v>
      </c>
      <c r="J22" s="5">
        <v>4500</v>
      </c>
      <c r="K22" s="5">
        <v>4500</v>
      </c>
      <c r="L22" s="5"/>
      <c r="M22" s="5"/>
      <c r="N22" s="5"/>
      <c r="O22" s="5"/>
      <c r="P22" s="5">
        <f>SUM(D22:O22)</f>
        <v>36000</v>
      </c>
    </row>
    <row r="23">
      <c r="A23" s="3" t="s">
        <v>14</v>
      </c>
      <c r="B23" s="5"/>
      <c r="C23" s="5"/>
      <c r="D23" s="5">
        <v>250</v>
      </c>
      <c r="E23" s="5">
        <v>250</v>
      </c>
      <c r="F23" s="5">
        <v>250</v>
      </c>
      <c r="G23" s="5">
        <v>250</v>
      </c>
      <c r="H23" s="5">
        <v>250</v>
      </c>
      <c r="I23" s="5">
        <v>250</v>
      </c>
      <c r="J23" s="5">
        <v>250</v>
      </c>
      <c r="K23" s="5">
        <v>200</v>
      </c>
      <c r="L23" s="5"/>
      <c r="M23" s="5"/>
      <c r="N23" s="5"/>
      <c r="O23" s="5"/>
      <c r="P23" s="5">
        <f>SUM(D23:O23)</f>
        <v>1950</v>
      </c>
    </row>
    <row r="24">
      <c r="A24" s="21" t="s">
        <v>51</v>
      </c>
      <c r="B24" s="5"/>
      <c r="C24" s="5"/>
      <c r="D24" s="5">
        <f>D5*0.065</f>
        <v>27144</v>
      </c>
      <c r="E24" s="5">
        <f>E5*0.065</f>
        <v>29123.25</v>
      </c>
      <c r="F24" s="5">
        <f>F5*0.065</f>
        <v>30819.75</v>
      </c>
      <c r="G24" s="5">
        <f>G5*0.065</f>
        <v>33364.5</v>
      </c>
      <c r="H24" s="5">
        <f>H5*0.065</f>
        <v>33364.5</v>
      </c>
      <c r="I24" s="5">
        <f>I5*0.065</f>
        <v>33364.5</v>
      </c>
      <c r="J24" s="5">
        <f>J5*0.065</f>
        <v>34495.5</v>
      </c>
      <c r="K24" s="5">
        <f>K5*0.065</f>
        <v>34495.5</v>
      </c>
      <c r="L24" s="5"/>
      <c r="M24" s="5"/>
      <c r="N24" s="5"/>
      <c r="O24" s="5"/>
      <c r="P24" s="5">
        <f>SUM(D24:O24)</f>
        <v>256171.5</v>
      </c>
    </row>
    <row r="25">
      <c r="A25" s="40" t="s">
        <v>68</v>
      </c>
      <c r="B25" s="5"/>
      <c r="C25" s="5"/>
      <c r="D25" s="5">
        <v>10000</v>
      </c>
      <c r="E25" s="5">
        <v>10000</v>
      </c>
      <c r="F25" s="5">
        <v>10000</v>
      </c>
      <c r="G25" s="5">
        <v>10000</v>
      </c>
      <c r="H25" s="5">
        <v>10000</v>
      </c>
      <c r="I25" s="5">
        <v>10000</v>
      </c>
      <c r="J25" s="5">
        <v>10000</v>
      </c>
      <c r="K25" s="5">
        <v>10000</v>
      </c>
      <c r="L25" s="5"/>
      <c r="M25" s="5"/>
      <c r="N25" s="5"/>
      <c r="O25" s="5"/>
      <c r="P25" s="5">
        <f>SUM(D25:O25)</f>
        <v>80000</v>
      </c>
    </row>
    <row r="26">
      <c r="A26" s="3" t="s">
        <v>15</v>
      </c>
      <c r="B26" s="5"/>
      <c r="C26" s="5"/>
      <c r="D26" s="5">
        <v>30000</v>
      </c>
      <c r="E26" s="5">
        <v>30000</v>
      </c>
      <c r="F26" s="5">
        <v>30000</v>
      </c>
      <c r="G26" s="5">
        <v>30000</v>
      </c>
      <c r="H26" s="5">
        <v>30000</v>
      </c>
      <c r="I26" s="5">
        <v>30000</v>
      </c>
      <c r="J26" s="5">
        <v>30000</v>
      </c>
      <c r="K26" s="5">
        <v>30000</v>
      </c>
      <c r="L26" s="5"/>
      <c r="M26" s="5"/>
      <c r="N26" s="5"/>
      <c r="O26" s="5"/>
      <c r="P26" s="5">
        <f>SUM(D26:O26)</f>
        <v>240000</v>
      </c>
    </row>
    <row r="27">
      <c r="A27" s="3" t="s">
        <v>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>SUM(D27:O27)</f>
        <v>0</v>
      </c>
    </row>
    <row r="28">
      <c r="A28" s="24" t="s">
        <v>17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5"/>
    </row>
    <row r="29">
      <c r="A29" s="3" t="s">
        <v>18</v>
      </c>
      <c r="B29" s="5"/>
      <c r="C29" s="5"/>
      <c r="D29" s="5">
        <v>5450</v>
      </c>
      <c r="E29" s="5">
        <v>5450</v>
      </c>
      <c r="F29" s="5">
        <v>5450</v>
      </c>
      <c r="G29" s="5">
        <v>5450</v>
      </c>
      <c r="H29" s="5">
        <v>5450</v>
      </c>
      <c r="I29" s="5">
        <v>5450</v>
      </c>
      <c r="J29" s="5">
        <v>5450</v>
      </c>
      <c r="K29" s="5">
        <v>5450</v>
      </c>
      <c r="L29" s="5"/>
      <c r="M29" s="5"/>
      <c r="N29" s="5"/>
      <c r="O29" s="5"/>
      <c r="P29" s="5">
        <f>SUM(D29:O29)</f>
        <v>43600</v>
      </c>
    </row>
    <row r="30">
      <c r="A30" s="3" t="s">
        <v>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>SUM(D30:O30)</f>
        <v>0</v>
      </c>
    </row>
    <row r="31">
      <c r="A31" s="3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>SUM(D31:O31)</f>
        <v>0</v>
      </c>
    </row>
    <row r="32">
      <c r="A32" s="24" t="s">
        <v>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5"/>
    </row>
    <row r="33">
      <c r="A33" s="3" t="s">
        <v>50</v>
      </c>
      <c r="B33" s="5"/>
      <c r="C33" s="5"/>
      <c r="D33" s="5">
        <v>800</v>
      </c>
      <c r="E33" s="5">
        <v>800</v>
      </c>
      <c r="F33" s="5">
        <v>800</v>
      </c>
      <c r="G33" s="5">
        <v>800</v>
      </c>
      <c r="H33" s="5">
        <v>800</v>
      </c>
      <c r="I33" s="5">
        <v>800</v>
      </c>
      <c r="J33" s="5">
        <v>800</v>
      </c>
      <c r="K33" s="5">
        <v>800</v>
      </c>
      <c r="L33" s="5"/>
      <c r="M33" s="5"/>
      <c r="N33" s="5"/>
      <c r="O33" s="5"/>
      <c r="P33" s="5">
        <f>SUM(D33:O33)</f>
        <v>6400</v>
      </c>
    </row>
    <row r="34">
      <c r="A34" s="3" t="s">
        <v>44</v>
      </c>
      <c r="B34" s="5"/>
      <c r="C34" s="5"/>
      <c r="D34" s="5">
        <v>675</v>
      </c>
      <c r="E34" s="5">
        <v>675</v>
      </c>
      <c r="F34" s="5">
        <v>675</v>
      </c>
      <c r="G34" s="5">
        <v>675</v>
      </c>
      <c r="H34" s="5">
        <v>675</v>
      </c>
      <c r="I34" s="5">
        <v>675</v>
      </c>
      <c r="J34" s="5">
        <v>675</v>
      </c>
      <c r="K34" s="5">
        <v>675</v>
      </c>
      <c r="L34" s="5"/>
      <c r="M34" s="5"/>
      <c r="N34" s="5"/>
      <c r="O34" s="5"/>
      <c r="P34" s="5">
        <f>SUM(D34:O34)</f>
        <v>5400</v>
      </c>
    </row>
    <row r="35">
      <c r="A35" s="3" t="s">
        <v>22</v>
      </c>
      <c r="B35" s="5"/>
      <c r="C35" s="5"/>
      <c r="D35" s="5">
        <v>1560</v>
      </c>
      <c r="E35" s="5">
        <v>1560</v>
      </c>
      <c r="F35" s="5">
        <v>1560</v>
      </c>
      <c r="G35" s="5">
        <v>1560</v>
      </c>
      <c r="H35" s="5">
        <v>1560</v>
      </c>
      <c r="I35" s="5">
        <v>1560</v>
      </c>
      <c r="J35" s="5">
        <v>1560</v>
      </c>
      <c r="K35" s="5">
        <v>1560</v>
      </c>
      <c r="L35" s="5"/>
      <c r="M35" s="5"/>
      <c r="N35" s="5"/>
      <c r="O35" s="5"/>
      <c r="P35" s="5">
        <f>SUM(D35:O35)</f>
        <v>12480</v>
      </c>
    </row>
    <row r="36">
      <c r="A36" s="24" t="s">
        <v>23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5"/>
    </row>
    <row r="37">
      <c r="A37" s="3" t="s">
        <v>24</v>
      </c>
      <c r="B37" s="5"/>
      <c r="C37" s="5"/>
      <c r="D37" s="5">
        <f>D38*0.085</f>
        <v>14280.000000000002</v>
      </c>
      <c r="E37" s="5">
        <f>E38*0.085</f>
        <v>14280.000000000002</v>
      </c>
      <c r="F37" s="5">
        <f>F38*0.085</f>
        <v>14280.000000000002</v>
      </c>
      <c r="G37" s="5">
        <f>G38*0.085</f>
        <v>14280.000000000002</v>
      </c>
      <c r="H37" s="5">
        <f>H38*0.085</f>
        <v>14280.000000000002</v>
      </c>
      <c r="I37" s="5">
        <f>I38*0.085</f>
        <v>14280.000000000002</v>
      </c>
      <c r="J37" s="5">
        <f>J38*0.085</f>
        <v>14280.000000000002</v>
      </c>
      <c r="K37" s="5">
        <f>K38*0.085</f>
        <v>14280.000000000002</v>
      </c>
      <c r="L37" s="5"/>
      <c r="M37" s="5"/>
      <c r="N37" s="5"/>
      <c r="O37" s="5"/>
      <c r="P37" s="5">
        <f>SUM(D37:O37)</f>
        <v>114240.00000000001</v>
      </c>
    </row>
    <row r="38">
      <c r="A38" s="3" t="s">
        <v>25</v>
      </c>
      <c r="B38" s="5"/>
      <c r="C38" s="5"/>
      <c r="D38" s="5">
        <v>168000</v>
      </c>
      <c r="E38" s="5">
        <v>168000</v>
      </c>
      <c r="F38" s="5">
        <v>168000</v>
      </c>
      <c r="G38" s="5">
        <v>168000</v>
      </c>
      <c r="H38" s="5">
        <v>168000</v>
      </c>
      <c r="I38" s="5">
        <v>168000</v>
      </c>
      <c r="J38" s="5">
        <v>168000</v>
      </c>
      <c r="K38" s="5">
        <v>168000</v>
      </c>
      <c r="L38" s="5"/>
      <c r="M38" s="5"/>
      <c r="N38" s="5"/>
      <c r="O38" s="5"/>
      <c r="P38" s="5">
        <f>SUM(D38:O38)</f>
        <v>1344000</v>
      </c>
    </row>
    <row r="39">
      <c r="A39" s="24" t="s">
        <v>26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5"/>
    </row>
    <row r="40">
      <c r="A40" s="3" t="s">
        <v>45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>SUM(D40:O40)</f>
        <v>0</v>
      </c>
    </row>
    <row r="41">
      <c r="A41" s="3" t="s">
        <v>27</v>
      </c>
      <c r="B41" s="5"/>
      <c r="C41" s="10"/>
      <c r="D41" s="5">
        <v>2800</v>
      </c>
      <c r="E41" s="5">
        <v>2800</v>
      </c>
      <c r="F41" s="5">
        <v>2800</v>
      </c>
      <c r="G41" s="5">
        <v>2800</v>
      </c>
      <c r="H41" s="5">
        <v>2800</v>
      </c>
      <c r="I41" s="5">
        <v>2800</v>
      </c>
      <c r="J41" s="5">
        <v>2800</v>
      </c>
      <c r="K41" s="5">
        <v>2800</v>
      </c>
      <c r="L41" s="5"/>
      <c r="M41" s="5"/>
      <c r="N41" s="5"/>
      <c r="O41" s="5"/>
      <c r="P41" s="5">
        <f>SUM(D41:O41)</f>
        <v>22400</v>
      </c>
    </row>
    <row r="42">
      <c r="A42" s="3" t="s">
        <v>28</v>
      </c>
      <c r="B42" s="5"/>
      <c r="C42" s="1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3"/>
    </row>
    <row r="43">
      <c r="A43" s="3" t="s">
        <v>29</v>
      </c>
      <c r="B43" s="8">
        <f>SUM(B13:B42)</f>
        <v>0</v>
      </c>
      <c r="C43" s="10"/>
      <c r="D43" s="8">
        <f>SUM(D13:D42)</f>
        <v>290784</v>
      </c>
      <c r="E43" s="8">
        <f>SUM(E13:E42)</f>
        <v>292763.25</v>
      </c>
      <c r="F43" s="8">
        <f>SUM(F13:F42)</f>
        <v>294459.75</v>
      </c>
      <c r="G43" s="8">
        <f>SUM(G13:G42)</f>
        <v>297004.5</v>
      </c>
      <c r="H43" s="8">
        <f>SUM(H13:H42)</f>
        <v>297004.5</v>
      </c>
      <c r="I43" s="8">
        <f>SUM(I13:I42)</f>
        <v>297004.5</v>
      </c>
      <c r="J43" s="8">
        <f>SUM(J13:J42)</f>
        <v>300135.5</v>
      </c>
      <c r="K43" s="8">
        <f>SUM(K13:K42)</f>
        <v>300085.5</v>
      </c>
      <c r="L43" s="8"/>
      <c r="M43" s="8"/>
      <c r="N43" s="8"/>
      <c r="O43" s="8"/>
      <c r="P43" s="9">
        <f>SUM(D43:O43)</f>
        <v>2369241.5</v>
      </c>
    </row>
    <row r="44">
      <c r="A44" s="23" t="s">
        <v>47</v>
      </c>
      <c r="B44" s="5"/>
      <c r="C44" s="11"/>
      <c r="D44" s="5">
        <f>D11-D43</f>
        <v>-13112</v>
      </c>
      <c r="E44" s="5">
        <f>E11-E43</f>
        <v>6832.75</v>
      </c>
      <c r="F44" s="5">
        <f>F11-F43</f>
        <v>23928.25</v>
      </c>
      <c r="G44" s="5">
        <f>G11-G43</f>
        <v>49571.5</v>
      </c>
      <c r="H44" s="5">
        <f>H11-H43</f>
        <v>49571.5</v>
      </c>
      <c r="I44" s="5">
        <f>I11-I43</f>
        <v>49571.5</v>
      </c>
      <c r="J44" s="5">
        <f>J11-J43</f>
        <v>57968.5</v>
      </c>
      <c r="K44" s="5">
        <f>K11-K43</f>
        <v>58018.5</v>
      </c>
      <c r="L44" s="5"/>
      <c r="M44" s="5"/>
      <c r="N44" s="5"/>
      <c r="O44" s="5"/>
      <c r="P44" s="6">
        <f>SUM(D44:O44)</f>
        <v>282350.5</v>
      </c>
    </row>
    <row r="45">
      <c r="A45" s="3"/>
      <c r="B45" s="5"/>
      <c r="C45" s="10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/>
    </row>
    <row r="46">
      <c r="A46" s="3"/>
      <c r="B46" s="5"/>
      <c r="C46" s="10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/>
    </row>
    <row r="47">
      <c r="A47" s="3"/>
      <c r="B47" s="5"/>
      <c r="C47" s="10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/>
    </row>
    <row r="48">
      <c r="A48" s="3" t="s">
        <v>65</v>
      </c>
      <c r="B48" s="5"/>
      <c r="C48" s="10"/>
      <c r="D48" s="5">
        <v>8000</v>
      </c>
      <c r="E48" s="5">
        <v>8000</v>
      </c>
      <c r="F48" s="5">
        <v>8000</v>
      </c>
      <c r="G48" s="5">
        <v>8000</v>
      </c>
      <c r="H48" s="5">
        <v>8000</v>
      </c>
      <c r="I48" s="5">
        <v>8000</v>
      </c>
      <c r="J48" s="5">
        <v>8000</v>
      </c>
      <c r="K48" s="5">
        <v>8000</v>
      </c>
      <c r="L48" s="5"/>
      <c r="M48" s="5"/>
      <c r="N48" s="5"/>
      <c r="O48" s="5"/>
      <c r="P48" s="6">
        <f>SUM(D48:O48)</f>
        <v>64000</v>
      </c>
    </row>
    <row r="49">
      <c r="A49" s="3" t="s">
        <v>33</v>
      </c>
      <c r="B49" s="5"/>
      <c r="C49" s="10"/>
      <c r="D49" s="5">
        <v>2268</v>
      </c>
      <c r="E49" s="5">
        <v>2268</v>
      </c>
      <c r="F49" s="5">
        <v>2268</v>
      </c>
      <c r="G49" s="5">
        <v>2268</v>
      </c>
      <c r="H49" s="5">
        <v>2268</v>
      </c>
      <c r="I49" s="5">
        <v>2268</v>
      </c>
      <c r="J49" s="5">
        <v>2268</v>
      </c>
      <c r="K49" s="5">
        <v>2268</v>
      </c>
      <c r="L49" s="5"/>
      <c r="M49" s="5"/>
      <c r="N49" s="5"/>
      <c r="O49" s="5"/>
      <c r="P49" s="6">
        <f>SUM(D49:O49)</f>
        <v>18144</v>
      </c>
    </row>
    <row r="50">
      <c r="A50" s="3" t="s">
        <v>66</v>
      </c>
      <c r="B50" s="5"/>
      <c r="C50" s="10"/>
      <c r="D50" s="5">
        <f>SUM(D48:D49)</f>
        <v>10268</v>
      </c>
      <c r="E50" s="5">
        <f>SUM(E48:E49)</f>
        <v>10268</v>
      </c>
      <c r="F50" s="5">
        <f>SUM(F48:F49)</f>
        <v>10268</v>
      </c>
      <c r="G50" s="5">
        <f>SUM(G48:G49)</f>
        <v>10268</v>
      </c>
      <c r="H50" s="5">
        <f>SUM(H48:H49)</f>
        <v>10268</v>
      </c>
      <c r="I50" s="5">
        <f>SUM(I48:I49)</f>
        <v>10268</v>
      </c>
      <c r="J50" s="5">
        <f>SUM(J48:J49)</f>
        <v>10268</v>
      </c>
      <c r="K50" s="5">
        <f>SUM(K48:K49)</f>
        <v>10268</v>
      </c>
      <c r="L50" s="5"/>
      <c r="M50" s="5"/>
      <c r="N50" s="5"/>
      <c r="O50" s="5"/>
      <c r="P50" s="6">
        <f>SUM(P48:P49)</f>
        <v>82144</v>
      </c>
    </row>
    <row r="51">
      <c r="A51" s="3"/>
      <c r="B51" s="5"/>
      <c r="C51" s="10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/>
    </row>
    <row r="52">
      <c r="A52" s="3" t="s">
        <v>63</v>
      </c>
      <c r="B52" s="8">
        <f>B8-B43-B45</f>
        <v>0</v>
      </c>
      <c r="C52" s="10">
        <v>0.12457967764540988</v>
      </c>
      <c r="D52" s="8">
        <f>D44-D50</f>
        <v>-23380</v>
      </c>
      <c r="E52" s="8">
        <f>E44-E50</f>
        <v>-3435.25</v>
      </c>
      <c r="F52" s="8">
        <f>F44-F50</f>
        <v>13660.25</v>
      </c>
      <c r="G52" s="8">
        <f>G44-G50</f>
        <v>39303.5</v>
      </c>
      <c r="H52" s="8">
        <f>H44-H50</f>
        <v>39303.5</v>
      </c>
      <c r="I52" s="8">
        <f>I44-I50</f>
        <v>39303.5</v>
      </c>
      <c r="J52" s="8">
        <f>J44-J50</f>
        <v>47700.5</v>
      </c>
      <c r="K52" s="8">
        <f>K44-K50</f>
        <v>47750.5</v>
      </c>
      <c r="L52" s="8"/>
      <c r="M52" s="8"/>
      <c r="N52" s="8"/>
      <c r="O52" s="8"/>
      <c r="P52" s="8">
        <f>P44-P50</f>
        <v>200206.5</v>
      </c>
    </row>
    <row r="53">
      <c r="P53" s="8"/>
    </row>
    <row r="54">
      <c r="A54" s="3" t="s">
        <v>35</v>
      </c>
      <c r="B54" s="3"/>
      <c r="C54" s="3"/>
      <c r="D54" s="3"/>
      <c r="E54" s="3"/>
      <c r="F54" s="3"/>
      <c r="G54" s="3"/>
      <c r="H54" s="7"/>
      <c r="I54" s="3"/>
      <c r="J54" s="3"/>
      <c r="K54" s="3"/>
      <c r="P54" s="8">
        <f>P46-P51</f>
        <v>0</v>
      </c>
    </row>
    <row r="55">
      <c r="A55" s="3" t="s">
        <v>36</v>
      </c>
      <c r="B55" s="3"/>
      <c r="C55" s="3"/>
      <c r="D55" s="3"/>
      <c r="E55" s="3"/>
      <c r="F55" s="3"/>
      <c r="G55" s="6"/>
      <c r="H55" s="6"/>
      <c r="I55" s="3"/>
      <c r="J55" s="3"/>
      <c r="K55" s="3"/>
      <c r="P55" s="8"/>
    </row>
    <row r="56">
      <c r="A56" s="3" t="s">
        <v>37</v>
      </c>
      <c r="B56" s="3"/>
      <c r="C56" s="3"/>
      <c r="D56" s="3"/>
      <c r="E56" s="3"/>
      <c r="F56" s="36"/>
      <c r="G56" s="36"/>
      <c r="H56" s="36"/>
      <c r="I56" s="36">
        <v>127000</v>
      </c>
      <c r="J56" s="3"/>
      <c r="K56" s="36">
        <v>70000</v>
      </c>
      <c r="P56" s="8">
        <f>SUM(D56:O56)</f>
        <v>197000</v>
      </c>
    </row>
    <row r="59">
      <c r="D59" s="18"/>
      <c r="H59" s="18"/>
    </row>
  </sheetData>
  <pageMargins left="0.5" right="0.25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2025</vt:lpstr>
      <vt:lpstr>2026</vt:lpstr>
      <vt:lpstr>2027</vt:lpstr>
      <vt:lpstr>2028</vt:lpstr>
      <vt:lpstr>2029</vt:lpstr>
      <vt:lpstr>2030</vt:lpstr>
      <vt:lpstr>'2025'!Print_Area</vt:lpstr>
      <vt:lpstr>'2026'!Print_Area</vt:lpstr>
      <vt:lpstr>'2027'!Print_Area</vt:lpstr>
      <vt:lpstr>'2028'!Print_Area</vt:lpstr>
      <vt:lpstr>'2029'!Print_Area</vt:lpstr>
      <vt:lpstr>'2030'!Print_Area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 LeSueur</dc:creator>
  <cp:lastModifiedBy>Unknown Author</cp:lastModifiedBy>
  <cp:lastPrinted>2025-06-17T23:44:44Z</cp:lastPrinted>
  <dcterms:created xsi:type="dcterms:W3CDTF">2024-10-15T01:04:12Z</dcterms:created>
  <dcterms:modified xsi:type="dcterms:W3CDTF">2025-09-16T06:19:40Z</dcterms:modified>
</cp:coreProperties>
</file>